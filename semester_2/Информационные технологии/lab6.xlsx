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arfromsouls\Desktop\экс\"/>
    </mc:Choice>
  </mc:AlternateContent>
  <xr:revisionPtr revIDLastSave="0" documentId="13_ncr:1_{95092D0B-74A5-4237-88F2-AF3B23BB13F4}" xr6:coauthVersionLast="47" xr6:coauthVersionMax="47" xr10:uidLastSave="{00000000-0000-0000-0000-000000000000}"/>
  <bookViews>
    <workbookView xWindow="4275" yWindow="2790" windowWidth="21600" windowHeight="11385" activeTab="5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6" l="1"/>
  <c r="E44" i="6" s="1"/>
  <c r="C44" i="6"/>
  <c r="A44" i="6" s="1"/>
  <c r="G43" i="6"/>
  <c r="E43" i="6" s="1"/>
  <c r="C43" i="6"/>
  <c r="A43" i="6" s="1"/>
  <c r="G42" i="6"/>
  <c r="E42" i="6" s="1"/>
  <c r="C42" i="6"/>
  <c r="A42" i="6" s="1"/>
  <c r="G41" i="6"/>
  <c r="E41" i="6" s="1"/>
  <c r="C41" i="6"/>
  <c r="A41" i="6" s="1"/>
  <c r="G40" i="6"/>
  <c r="E40" i="6" s="1"/>
  <c r="C40" i="6"/>
  <c r="A40" i="6" s="1"/>
  <c r="G39" i="6"/>
  <c r="E39" i="6" s="1"/>
  <c r="C39" i="6"/>
  <c r="A39" i="6" s="1"/>
  <c r="G38" i="6"/>
  <c r="E38" i="6" s="1"/>
  <c r="C38" i="6"/>
  <c r="A38" i="6" s="1"/>
  <c r="G37" i="6"/>
  <c r="E37" i="6" s="1"/>
  <c r="C37" i="6"/>
  <c r="A37" i="6" s="1"/>
  <c r="G36" i="6"/>
  <c r="E36" i="6" s="1"/>
  <c r="C36" i="6"/>
  <c r="A36" i="6" s="1"/>
  <c r="G35" i="6"/>
  <c r="E35" i="6" s="1"/>
  <c r="C35" i="6"/>
  <c r="A35" i="6" s="1"/>
  <c r="G34" i="6"/>
  <c r="E34" i="6" s="1"/>
  <c r="C34" i="6"/>
  <c r="A34" i="6" s="1"/>
  <c r="G33" i="6"/>
  <c r="E33" i="6" s="1"/>
  <c r="C33" i="6"/>
  <c r="A33" i="6" s="1"/>
  <c r="G32" i="6"/>
  <c r="E32" i="6" s="1"/>
  <c r="C32" i="6"/>
  <c r="A32" i="6" s="1"/>
  <c r="C30" i="6"/>
  <c r="C29" i="6"/>
  <c r="F27" i="6"/>
  <c r="E27" i="6"/>
  <c r="D27" i="6"/>
  <c r="C27" i="6"/>
  <c r="G27" i="6" s="1"/>
  <c r="F26" i="6"/>
  <c r="E26" i="6"/>
  <c r="D26" i="6"/>
  <c r="C26" i="6"/>
  <c r="F25" i="6"/>
  <c r="E25" i="6"/>
  <c r="D25" i="6"/>
  <c r="C25" i="6"/>
  <c r="G25" i="6" s="1"/>
  <c r="E21" i="6"/>
  <c r="D21" i="6"/>
  <c r="C21" i="6"/>
  <c r="E20" i="6"/>
  <c r="D20" i="6"/>
  <c r="C20" i="6"/>
  <c r="E19" i="6"/>
  <c r="D19" i="6"/>
  <c r="C19" i="6"/>
  <c r="E18" i="6"/>
  <c r="D18" i="6"/>
  <c r="C18" i="6"/>
  <c r="I15" i="6"/>
  <c r="H15" i="6"/>
  <c r="G15" i="6"/>
  <c r="C45" i="6" s="1"/>
  <c r="J14" i="6"/>
  <c r="E14" i="6"/>
  <c r="J13" i="6"/>
  <c r="E13" i="6"/>
  <c r="J12" i="6"/>
  <c r="E12" i="6"/>
  <c r="J11" i="6"/>
  <c r="E11" i="6"/>
  <c r="J10" i="6"/>
  <c r="E10" i="6"/>
  <c r="J9" i="6"/>
  <c r="E9" i="6"/>
  <c r="J8" i="6"/>
  <c r="E8" i="6"/>
  <c r="J7" i="6"/>
  <c r="E7" i="6"/>
  <c r="J6" i="6"/>
  <c r="E6" i="6"/>
  <c r="J5" i="6"/>
  <c r="E5" i="6"/>
  <c r="J4" i="6"/>
  <c r="E4" i="6"/>
  <c r="J3" i="6"/>
  <c r="E3" i="6"/>
  <c r="J2" i="6"/>
  <c r="E2" i="6"/>
  <c r="B7" i="5"/>
  <c r="D7" i="5" s="1"/>
  <c r="E7" i="5" s="1"/>
  <c r="F7" i="5" s="1"/>
  <c r="B6" i="5"/>
  <c r="C6" i="5" s="1"/>
  <c r="B5" i="5"/>
  <c r="C5" i="5" s="1"/>
  <c r="B4" i="5"/>
  <c r="D4" i="5" s="1"/>
  <c r="E4" i="5" s="1"/>
  <c r="F4" i="5" s="1"/>
  <c r="B3" i="5"/>
  <c r="D3" i="5" s="1"/>
  <c r="E3" i="5" s="1"/>
  <c r="F3" i="5" s="1"/>
  <c r="F7" i="4"/>
  <c r="F6" i="4"/>
  <c r="F5" i="4"/>
  <c r="F4" i="4"/>
  <c r="F3" i="4"/>
  <c r="B7" i="3"/>
  <c r="C7" i="3" s="1"/>
  <c r="D7" i="3" s="1"/>
  <c r="B6" i="3"/>
  <c r="C6" i="3" s="1"/>
  <c r="D6" i="3" s="1"/>
  <c r="B5" i="3"/>
  <c r="C5" i="3" s="1"/>
  <c r="D5" i="3" s="1"/>
  <c r="E4" i="3"/>
  <c r="B4" i="3"/>
  <c r="C4" i="3" s="1"/>
  <c r="D4" i="3" s="1"/>
  <c r="B3" i="3"/>
  <c r="C3" i="3" s="1"/>
  <c r="D3" i="3" s="1"/>
  <c r="C7" i="2"/>
  <c r="B7" i="2"/>
  <c r="C6" i="2"/>
  <c r="B6" i="2"/>
  <c r="C5" i="2"/>
  <c r="B5" i="2"/>
  <c r="C4" i="2"/>
  <c r="B4" i="2"/>
  <c r="C3" i="2"/>
  <c r="B3" i="2"/>
  <c r="E5" i="3" l="1"/>
  <c r="J15" i="6"/>
  <c r="E6" i="3"/>
  <c r="E7" i="3"/>
  <c r="E3" i="3"/>
  <c r="G26" i="6"/>
  <c r="C7" i="5"/>
  <c r="D5" i="5"/>
  <c r="E5" i="5" s="1"/>
  <c r="F5" i="5" s="1"/>
  <c r="C3" i="5"/>
  <c r="D6" i="5"/>
  <c r="E6" i="5" s="1"/>
  <c r="F6" i="5" s="1"/>
  <c r="C4" i="5"/>
</calcChain>
</file>

<file path=xl/sharedStrings.xml><?xml version="1.0" encoding="utf-8"?>
<sst xmlns="http://schemas.openxmlformats.org/spreadsheetml/2006/main" count="158" uniqueCount="99">
  <si>
    <t>Моя семья</t>
  </si>
  <si>
    <t>Фамилия</t>
  </si>
  <si>
    <t>Имя</t>
  </si>
  <si>
    <t>Отчество</t>
  </si>
  <si>
    <t>Число</t>
  </si>
  <si>
    <t>Месяц</t>
  </si>
  <si>
    <t>Год рождения</t>
  </si>
  <si>
    <t>я</t>
  </si>
  <si>
    <t>Николаева</t>
  </si>
  <si>
    <t>Анна</t>
  </si>
  <si>
    <t>Дмитриевна</t>
  </si>
  <si>
    <t>мама</t>
  </si>
  <si>
    <t>Николаев</t>
  </si>
  <si>
    <t>Екатерина</t>
  </si>
  <si>
    <t>Александровна</t>
  </si>
  <si>
    <t>папа</t>
  </si>
  <si>
    <t>Дмитрий</t>
  </si>
  <si>
    <t>Михайлович</t>
  </si>
  <si>
    <t>брат</t>
  </si>
  <si>
    <t>Алексей</t>
  </si>
  <si>
    <t>Дмитриевич</t>
  </si>
  <si>
    <t>сестра</t>
  </si>
  <si>
    <t>Елена</t>
  </si>
  <si>
    <t>Даты</t>
  </si>
  <si>
    <t>ФИО</t>
  </si>
  <si>
    <t>Дата рождения</t>
  </si>
  <si>
    <t>Дни рождения</t>
  </si>
  <si>
    <t>День недели</t>
  </si>
  <si>
    <t>Название дня недели</t>
  </si>
  <si>
    <t>Сколько дней прошло с дня рождения</t>
  </si>
  <si>
    <t>Электронная почта</t>
  </si>
  <si>
    <t>Фамилия с инициалами</t>
  </si>
  <si>
    <t>Адрес электронной почты</t>
  </si>
  <si>
    <t>Николаева Анна Дмитриевна</t>
  </si>
  <si>
    <t>mailto:anna_nikolaeva@starnet.ru</t>
  </si>
  <si>
    <t>Николаев Екатерина Александровна</t>
  </si>
  <si>
    <t>mailto:nikolaeva1980@mail.ru</t>
  </si>
  <si>
    <t>Николаев Дмитрий Михайлович</t>
  </si>
  <si>
    <t>mailto:dm_nikolaev@econ.msu.ru</t>
  </si>
  <si>
    <t>Николаев Алексей Дмитриевич</t>
  </si>
  <si>
    <t>mailto:10062005@gmail.ru</t>
  </si>
  <si>
    <t>Николаева Елена Дмитриевна</t>
  </si>
  <si>
    <t>Следующий день рождения</t>
  </si>
  <si>
    <t>текущий год</t>
  </si>
  <si>
    <t>новый год</t>
  </si>
  <si>
    <t>день рождения в этом году</t>
  </si>
  <si>
    <t>следующий день рождения</t>
  </si>
  <si>
    <t>сколько дней до следующего дня рождения</t>
  </si>
  <si>
    <t>№</t>
  </si>
  <si>
    <t>Фамилия, инициалы</t>
  </si>
  <si>
    <t>№ акад. Группы</t>
  </si>
  <si>
    <t>информатика</t>
  </si>
  <si>
    <t>Бух. Учет</t>
  </si>
  <si>
    <t>Матем. Анализ</t>
  </si>
  <si>
    <t>Средний балл</t>
  </si>
  <si>
    <t>Булахова</t>
  </si>
  <si>
    <t>Михайловна</t>
  </si>
  <si>
    <t>Галкина</t>
  </si>
  <si>
    <t>Дарья</t>
  </si>
  <si>
    <t>Сергеевна</t>
  </si>
  <si>
    <t>Коваль</t>
  </si>
  <si>
    <t>Артем</t>
  </si>
  <si>
    <t>Максимович</t>
  </si>
  <si>
    <t>Матчин</t>
  </si>
  <si>
    <t>Сергеевич</t>
  </si>
  <si>
    <t>Морева</t>
  </si>
  <si>
    <t>Полина</t>
  </si>
  <si>
    <t>Максимовна</t>
  </si>
  <si>
    <t>Новак</t>
  </si>
  <si>
    <t>Ольга</t>
  </si>
  <si>
    <t>Алексеевна</t>
  </si>
  <si>
    <t>Новиков</t>
  </si>
  <si>
    <t>Никита</t>
  </si>
  <si>
    <t>Андреевич</t>
  </si>
  <si>
    <t>Пронькина</t>
  </si>
  <si>
    <t>Лидия</t>
  </si>
  <si>
    <t>Викторовна</t>
  </si>
  <si>
    <t>Соляник</t>
  </si>
  <si>
    <t>Генриховна</t>
  </si>
  <si>
    <t>Судьина</t>
  </si>
  <si>
    <t>Антонова</t>
  </si>
  <si>
    <t>Травкова</t>
  </si>
  <si>
    <t>Алина</t>
  </si>
  <si>
    <t>Васильевна</t>
  </si>
  <si>
    <t>Уралова</t>
  </si>
  <si>
    <t>Нина</t>
  </si>
  <si>
    <t>Ивановна</t>
  </si>
  <si>
    <t>Чубанова</t>
  </si>
  <si>
    <t>Заяна</t>
  </si>
  <si>
    <t>Распределение оценок</t>
  </si>
  <si>
    <t>Мат. Анализ</t>
  </si>
  <si>
    <t>кол -во 5</t>
  </si>
  <si>
    <t>кол-во 4</t>
  </si>
  <si>
    <t>кол-во 3</t>
  </si>
  <si>
    <t>кол-во 2</t>
  </si>
  <si>
    <t>Средние баллы</t>
  </si>
  <si>
    <t>Кол-во студентов</t>
  </si>
  <si>
    <t>кол-во отличников</t>
  </si>
  <si>
    <t>кол-во двоечников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</si>
</sst>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name val="Courier New"/>
      <family val="3"/>
      <charset val="204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3" borderId="1" xfId="0" applyFont="1" applyFill="1" applyBorder="1"/>
    <xf numFmtId="14" fontId="0" fillId="0" borderId="1" xfId="0" applyNumberFormat="1" applyBorder="1"/>
    <xf numFmtId="0" fontId="0" fillId="3" borderId="1" xfId="0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2" fontId="0" fillId="0" borderId="1" xfId="0" applyNumberFormat="1" applyBorder="1"/>
    <xf numFmtId="0" fontId="1" fillId="3" borderId="1" xfId="0" applyFont="1" applyFill="1" applyBorder="1"/>
    <xf numFmtId="0" fontId="3" fillId="0" borderId="1" xfId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1" fillId="0" borderId="0" xfId="0" applyFont="1" applyAlignment="1">
      <alignment wrapText="1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Гиперссылка" xfId="1" builtinId="8"/>
    <cellStyle name="Обычный" xfId="0" builtinId="0"/>
  </cellStyles>
  <dxfs count="7"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ont>
        <color auto="1"/>
      </font>
      <fill>
        <patternFill>
          <bgColor theme="6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(Лист6!$C$24,Лист6!$D$24,Лист6!$E$24)</c:f>
              <c:strCache>
                <c:ptCount val="3"/>
                <c:pt idx="0">
                  <c:v>информатика</c:v>
                </c:pt>
                <c:pt idx="1">
                  <c:v>Бух. Учет</c:v>
                </c:pt>
                <c:pt idx="2">
                  <c:v>Матем. Анализ</c:v>
                </c:pt>
              </c:strCache>
            </c:strRef>
          </c:cat>
          <c:val>
            <c:numRef>
              <c:f>(Лист6!$C$25,Лист6!$D$25,Лист6!$E$25)</c:f>
              <c:numCache>
                <c:formatCode>General</c:formatCode>
                <c:ptCount val="3"/>
                <c:pt idx="0">
                  <c:v>4</c:v>
                </c:pt>
                <c:pt idx="1">
                  <c:v>4.2</c:v>
                </c:pt>
                <c:pt idx="2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7-474B-94DE-858EE8450BD4}"/>
            </c:ext>
          </c:extLst>
        </c:ser>
        <c:ser>
          <c:idx val="1"/>
          <c:order val="1"/>
          <c:tx>
            <c:strRef>
              <c:f>Лист6!$B$26</c:f>
              <c:strCache>
                <c:ptCount val="1"/>
                <c:pt idx="0">
                  <c:v>102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Лист6!$C$26:$E$26</c:f>
              <c:numCache>
                <c:formatCode>General</c:formatCode>
                <c:ptCount val="3"/>
                <c:pt idx="0">
                  <c:v>4.4000000000000004</c:v>
                </c:pt>
                <c:pt idx="1">
                  <c:v>4</c:v>
                </c:pt>
                <c:pt idx="2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17-474B-94DE-858EE8450BD4}"/>
            </c:ext>
          </c:extLst>
        </c:ser>
        <c:ser>
          <c:idx val="2"/>
          <c:order val="2"/>
          <c:tx>
            <c:strRef>
              <c:f>Лист6!$B$27</c:f>
              <c:strCache>
                <c:ptCount val="1"/>
                <c:pt idx="0">
                  <c:v>103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Лист6!$C$27:$E$27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17-474B-94DE-858EE8450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159120"/>
        <c:axId val="641161616"/>
      </c:barChart>
      <c:catAx>
        <c:axId val="64115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1161616"/>
        <c:crosses val="autoZero"/>
        <c:auto val="1"/>
        <c:lblAlgn val="ctr"/>
        <c:lblOffset val="100"/>
        <c:noMultiLvlLbl val="0"/>
      </c:catAx>
      <c:valAx>
        <c:axId val="6411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115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0</xdr:row>
      <xdr:rowOff>233362</xdr:rowOff>
    </xdr:from>
    <xdr:to>
      <xdr:col>17</xdr:col>
      <xdr:colOff>514350</xdr:colOff>
      <xdr:row>14</xdr:row>
      <xdr:rowOff>119062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AB6735F-CBCE-4237-8844-F0C68B482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rtem/Desktop/&#1083;&#1072;&#1073;&#1099;%20&#1101;&#1082;&#1089;/&#1083;&#1072;&#1073;%206.xlsx" TargetMode="External"/><Relationship Id="rId1" Type="http://schemas.openxmlformats.org/officeDocument/2006/relationships/externalLinkPath" Target="/Users/artem/Desktop/&#1083;&#1072;&#1073;&#1099;%20&#1101;&#1082;&#1089;/&#1083;&#1072;&#1073;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Моя семья"/>
      <sheetName val="Даты"/>
      <sheetName val="Дни рождения"/>
      <sheetName val="Электронная почта"/>
      <sheetName val="Следующий день рождения"/>
      <sheetName val="Домашнее задание"/>
    </sheetNames>
    <sheetDataSet>
      <sheetData sheetId="0">
        <row r="3">
          <cell r="B3" t="str">
            <v>Николаева</v>
          </cell>
          <cell r="C3" t="str">
            <v>Анна</v>
          </cell>
          <cell r="D3" t="str">
            <v>Дмитриевна</v>
          </cell>
          <cell r="E3">
            <v>6</v>
          </cell>
          <cell r="F3">
            <v>12</v>
          </cell>
          <cell r="G3">
            <v>2001</v>
          </cell>
        </row>
        <row r="4">
          <cell r="B4" t="str">
            <v>Николаев</v>
          </cell>
          <cell r="C4" t="str">
            <v>Екатерина</v>
          </cell>
          <cell r="D4" t="str">
            <v>Александровна</v>
          </cell>
          <cell r="E4">
            <v>10</v>
          </cell>
          <cell r="F4">
            <v>7</v>
          </cell>
          <cell r="G4">
            <v>1980</v>
          </cell>
        </row>
        <row r="5">
          <cell r="B5" t="str">
            <v>Николаев</v>
          </cell>
          <cell r="C5" t="str">
            <v>Дмитрий</v>
          </cell>
          <cell r="D5" t="str">
            <v>Михайлович</v>
          </cell>
          <cell r="E5">
            <v>2</v>
          </cell>
          <cell r="F5">
            <v>4</v>
          </cell>
          <cell r="G5">
            <v>1977</v>
          </cell>
        </row>
        <row r="6">
          <cell r="B6" t="str">
            <v>Николаев</v>
          </cell>
          <cell r="C6" t="str">
            <v>Алексей</v>
          </cell>
          <cell r="D6" t="str">
            <v>Дмитриевич</v>
          </cell>
          <cell r="E6">
            <v>10</v>
          </cell>
          <cell r="F6">
            <v>6</v>
          </cell>
          <cell r="G6">
            <v>2005</v>
          </cell>
        </row>
        <row r="7">
          <cell r="B7" t="str">
            <v>Николаева</v>
          </cell>
          <cell r="C7" t="str">
            <v>Елена</v>
          </cell>
          <cell r="D7" t="str">
            <v>Дмитриевна</v>
          </cell>
          <cell r="E7">
            <v>30</v>
          </cell>
          <cell r="F7">
            <v>10</v>
          </cell>
          <cell r="G7">
            <v>2010</v>
          </cell>
        </row>
      </sheetData>
      <sheetData sheetId="1"/>
      <sheetData sheetId="2"/>
      <sheetData sheetId="3"/>
      <sheetData sheetId="4"/>
      <sheetData sheetId="5">
        <row r="24">
          <cell r="C24" t="str">
            <v>информатика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m_nikolaev@econ.msu.ru" TargetMode="External"/><Relationship Id="rId2" Type="http://schemas.openxmlformats.org/officeDocument/2006/relationships/hyperlink" Target="mailto:nikolaeva1980@mail.ru" TargetMode="External"/><Relationship Id="rId1" Type="http://schemas.openxmlformats.org/officeDocument/2006/relationships/hyperlink" Target="mailto:anna_nikolaeva@starnet.ru" TargetMode="External"/><Relationship Id="rId4" Type="http://schemas.openxmlformats.org/officeDocument/2006/relationships/hyperlink" Target="mailto:10062005@gmail.ru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A1" s="24" t="s">
        <v>0</v>
      </c>
      <c r="B1" s="24"/>
      <c r="C1" s="24"/>
      <c r="D1" s="24"/>
      <c r="E1" s="24"/>
      <c r="F1" s="24"/>
      <c r="G1" s="24"/>
    </row>
    <row r="2" spans="1:7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2">
        <v>6</v>
      </c>
      <c r="F3" s="2">
        <v>12</v>
      </c>
      <c r="G3" s="2">
        <v>2001</v>
      </c>
    </row>
    <row r="4" spans="1:7" x14ac:dyDescent="0.25">
      <c r="A4" s="2" t="s">
        <v>11</v>
      </c>
      <c r="B4" s="2" t="s">
        <v>12</v>
      </c>
      <c r="C4" s="2" t="s">
        <v>13</v>
      </c>
      <c r="D4" s="2" t="s">
        <v>14</v>
      </c>
      <c r="E4" s="2">
        <v>10</v>
      </c>
      <c r="F4" s="2">
        <v>7</v>
      </c>
      <c r="G4" s="2">
        <v>1980</v>
      </c>
    </row>
    <row r="5" spans="1:7" x14ac:dyDescent="0.25">
      <c r="A5" s="2" t="s">
        <v>15</v>
      </c>
      <c r="B5" s="2" t="s">
        <v>12</v>
      </c>
      <c r="C5" s="2" t="s">
        <v>16</v>
      </c>
      <c r="D5" s="2" t="s">
        <v>17</v>
      </c>
      <c r="E5" s="2">
        <v>2</v>
      </c>
      <c r="F5" s="2">
        <v>4</v>
      </c>
      <c r="G5" s="2">
        <v>1977</v>
      </c>
    </row>
    <row r="6" spans="1:7" x14ac:dyDescent="0.25">
      <c r="A6" s="2" t="s">
        <v>18</v>
      </c>
      <c r="B6" s="2" t="s">
        <v>12</v>
      </c>
      <c r="C6" s="2" t="s">
        <v>19</v>
      </c>
      <c r="D6" s="2" t="s">
        <v>20</v>
      </c>
      <c r="E6" s="2">
        <v>10</v>
      </c>
      <c r="F6" s="2">
        <v>6</v>
      </c>
      <c r="G6" s="2">
        <v>2005</v>
      </c>
    </row>
    <row r="7" spans="1:7" x14ac:dyDescent="0.25">
      <c r="A7" s="2" t="s">
        <v>21</v>
      </c>
      <c r="B7" s="2" t="s">
        <v>8</v>
      </c>
      <c r="C7" s="2" t="s">
        <v>22</v>
      </c>
      <c r="D7" s="2" t="s">
        <v>10</v>
      </c>
      <c r="E7" s="2">
        <v>30</v>
      </c>
      <c r="F7" s="2">
        <v>10</v>
      </c>
      <c r="G7" s="2">
        <v>2010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ADA4-F1C1-4625-96FE-FBBEACCA6CDD}">
  <dimension ref="A1:C7"/>
  <sheetViews>
    <sheetView workbookViewId="0">
      <selection activeCell="E1" sqref="E1"/>
    </sheetView>
  </sheetViews>
  <sheetFormatPr defaultRowHeight="15" x14ac:dyDescent="0.25"/>
  <cols>
    <col min="3" max="3" width="17.5703125" customWidth="1"/>
  </cols>
  <sheetData>
    <row r="1" spans="1:3" x14ac:dyDescent="0.25">
      <c r="A1" s="25" t="s">
        <v>23</v>
      </c>
      <c r="B1" s="25"/>
      <c r="C1" s="25"/>
    </row>
    <row r="2" spans="1:3" x14ac:dyDescent="0.25">
      <c r="A2" s="3"/>
      <c r="B2" s="3" t="s">
        <v>24</v>
      </c>
      <c r="C2" s="3" t="s">
        <v>25</v>
      </c>
    </row>
    <row r="3" spans="1:3" x14ac:dyDescent="0.25">
      <c r="A3" s="2" t="s">
        <v>7</v>
      </c>
      <c r="B3" s="2" t="str">
        <f>CONCATENATE('[1]Моя семья'!B3," ",'[1]Моя семья'!C3," ",'[1]Моя семья'!D3)</f>
        <v>Николаева Анна Дмитриевна</v>
      </c>
      <c r="C3" s="4">
        <f>DATE('[1]Моя семья'!G3,'[1]Моя семья'!F3,'[1]Моя семья'!E3)</f>
        <v>37231</v>
      </c>
    </row>
    <row r="4" spans="1:3" x14ac:dyDescent="0.25">
      <c r="A4" s="2" t="s">
        <v>11</v>
      </c>
      <c r="B4" s="2" t="str">
        <f>CONCATENATE('[1]Моя семья'!B4," ",'[1]Моя семья'!C4," ",'[1]Моя семья'!D4)</f>
        <v>Николаев Екатерина Александровна</v>
      </c>
      <c r="C4" s="4">
        <f>DATE('[1]Моя семья'!G4,'[1]Моя семья'!F4,'[1]Моя семья'!E4)</f>
        <v>29412</v>
      </c>
    </row>
    <row r="5" spans="1:3" x14ac:dyDescent="0.25">
      <c r="A5" s="2" t="s">
        <v>15</v>
      </c>
      <c r="B5" s="2" t="str">
        <f>CONCATENATE('[1]Моя семья'!B5," ",'[1]Моя семья'!C5," ",'[1]Моя семья'!D5)</f>
        <v>Николаев Дмитрий Михайлович</v>
      </c>
      <c r="C5" s="4">
        <f>DATE('[1]Моя семья'!G5,'[1]Моя семья'!F5,'[1]Моя семья'!E5)</f>
        <v>28217</v>
      </c>
    </row>
    <row r="6" spans="1:3" x14ac:dyDescent="0.25">
      <c r="A6" s="2" t="s">
        <v>18</v>
      </c>
      <c r="B6" s="2" t="str">
        <f>CONCATENATE('[1]Моя семья'!B6," ",'[1]Моя семья'!C6," ",'[1]Моя семья'!D6)</f>
        <v>Николаев Алексей Дмитриевич</v>
      </c>
      <c r="C6" s="4">
        <f>DATE('[1]Моя семья'!G6,'[1]Моя семья'!F6,'[1]Моя семья'!E6)</f>
        <v>38513</v>
      </c>
    </row>
    <row r="7" spans="1:3" x14ac:dyDescent="0.25">
      <c r="A7" s="2" t="s">
        <v>21</v>
      </c>
      <c r="B7" s="2" t="str">
        <f>CONCATENATE('[1]Моя семья'!B7," ",'[1]Моя семья'!C7," ",'[1]Моя семья'!D7)</f>
        <v>Николаева Елена Дмитриевна</v>
      </c>
      <c r="C7" s="4">
        <f>DATE('[1]Моя семья'!G7,'[1]Моя семья'!F7,'[1]Моя семья'!E7)</f>
        <v>40481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DCE6-7565-4F1F-A09A-4F93F183931F}">
  <dimension ref="A1:E7"/>
  <sheetViews>
    <sheetView workbookViewId="0">
      <selection activeCell="E3" sqref="E3"/>
    </sheetView>
  </sheetViews>
  <sheetFormatPr defaultRowHeight="15" x14ac:dyDescent="0.25"/>
  <cols>
    <col min="2" max="2" width="16.85546875" customWidth="1"/>
    <col min="5" max="5" width="20.85546875" customWidth="1"/>
  </cols>
  <sheetData>
    <row r="1" spans="1:5" x14ac:dyDescent="0.25">
      <c r="A1" s="26" t="s">
        <v>26</v>
      </c>
      <c r="B1" s="26"/>
      <c r="C1" s="26"/>
      <c r="D1" s="26"/>
      <c r="E1" s="26"/>
    </row>
    <row r="2" spans="1:5" ht="45" x14ac:dyDescent="0.25">
      <c r="A2" s="5"/>
      <c r="B2" s="6" t="s">
        <v>25</v>
      </c>
      <c r="C2" s="6" t="s">
        <v>27</v>
      </c>
      <c r="D2" s="6" t="s">
        <v>28</v>
      </c>
      <c r="E2" s="6" t="s">
        <v>29</v>
      </c>
    </row>
    <row r="3" spans="1:5" x14ac:dyDescent="0.25">
      <c r="A3" s="7" t="s">
        <v>7</v>
      </c>
      <c r="B3" s="8">
        <f>DATE('[1]Моя семья'!G3,'[1]Моя семья'!F3,'[1]Моя семья'!E3)</f>
        <v>37231</v>
      </c>
      <c r="C3" s="2">
        <f>WEEKDAY(B3,2)</f>
        <v>4</v>
      </c>
      <c r="D3" s="2" t="str">
        <f>CHOOSE(C3,"Понедельник","Вторник","Среда","Четверг","Пятница","Суббота","Воскресенье")</f>
        <v>Четверг</v>
      </c>
      <c r="E3" s="9">
        <f ca="1">TODAY()-B3</f>
        <v>8877</v>
      </c>
    </row>
    <row r="4" spans="1:5" x14ac:dyDescent="0.25">
      <c r="A4" s="7" t="s">
        <v>11</v>
      </c>
      <c r="B4" s="4">
        <f>DATE('[1]Моя семья'!G4,'[1]Моя семья'!F4,'[1]Моя семья'!E4)</f>
        <v>29412</v>
      </c>
      <c r="C4" s="2">
        <f t="shared" ref="C4:C7" si="0">WEEKDAY(B4,2)</f>
        <v>4</v>
      </c>
      <c r="D4" s="2" t="str">
        <f t="shared" ref="D4:D7" si="1">CHOOSE(C4,"Понедельник","Вторник","Среда","Четверг","Пятница","Суббота","Воскресенье")</f>
        <v>Четверг</v>
      </c>
      <c r="E4" s="9">
        <f t="shared" ref="E4:E7" ca="1" si="2">TODAY()-B4</f>
        <v>16696</v>
      </c>
    </row>
    <row r="5" spans="1:5" x14ac:dyDescent="0.25">
      <c r="A5" s="7" t="s">
        <v>15</v>
      </c>
      <c r="B5" s="8">
        <f>DATE('[1]Моя семья'!G5,'[1]Моя семья'!F5,'[1]Моя семья'!E5)</f>
        <v>28217</v>
      </c>
      <c r="C5" s="2">
        <f t="shared" si="0"/>
        <v>6</v>
      </c>
      <c r="D5" s="2" t="str">
        <f t="shared" si="1"/>
        <v>Суббота</v>
      </c>
      <c r="E5" s="9">
        <f t="shared" ca="1" si="2"/>
        <v>17891</v>
      </c>
    </row>
    <row r="6" spans="1:5" x14ac:dyDescent="0.25">
      <c r="A6" s="7" t="s">
        <v>18</v>
      </c>
      <c r="B6" s="4">
        <f>DATE('[1]Моя семья'!G6,'[1]Моя семья'!F6,'[1]Моя семья'!E6)</f>
        <v>38513</v>
      </c>
      <c r="C6" s="2">
        <f t="shared" si="0"/>
        <v>5</v>
      </c>
      <c r="D6" s="2" t="str">
        <f t="shared" si="1"/>
        <v>Пятница</v>
      </c>
      <c r="E6" s="9">
        <f t="shared" ca="1" si="2"/>
        <v>7595</v>
      </c>
    </row>
    <row r="7" spans="1:5" x14ac:dyDescent="0.25">
      <c r="A7" s="7" t="s">
        <v>21</v>
      </c>
      <c r="B7" s="8">
        <f>DATE('[1]Моя семья'!G7,'[1]Моя семья'!F7,'[1]Моя семья'!E7)</f>
        <v>40481</v>
      </c>
      <c r="C7" s="2">
        <f t="shared" si="0"/>
        <v>6</v>
      </c>
      <c r="D7" s="2" t="str">
        <f t="shared" si="1"/>
        <v>Суббота</v>
      </c>
      <c r="E7" s="9">
        <f t="shared" ca="1" si="2"/>
        <v>5627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666D-C624-4ED8-9337-B53451C7E601}">
  <dimension ref="A1:G7"/>
  <sheetViews>
    <sheetView workbookViewId="0">
      <selection activeCell="J4" sqref="J4"/>
    </sheetView>
  </sheetViews>
  <sheetFormatPr defaultRowHeight="15" x14ac:dyDescent="0.25"/>
  <cols>
    <col min="2" max="2" width="31.7109375" customWidth="1"/>
    <col min="3" max="3" width="14.28515625" customWidth="1"/>
    <col min="4" max="4" width="10.85546875" customWidth="1"/>
    <col min="5" max="5" width="14.85546875" customWidth="1"/>
    <col min="6" max="6" width="16" customWidth="1"/>
    <col min="7" max="7" width="23.42578125" customWidth="1"/>
  </cols>
  <sheetData>
    <row r="1" spans="1:7" x14ac:dyDescent="0.25">
      <c r="A1" s="27" t="s">
        <v>30</v>
      </c>
      <c r="B1" s="27"/>
      <c r="C1" s="27"/>
      <c r="D1" s="27"/>
      <c r="E1" s="27"/>
      <c r="F1" s="27"/>
      <c r="G1" s="27"/>
    </row>
    <row r="2" spans="1:7" ht="30" x14ac:dyDescent="0.25">
      <c r="A2" s="5"/>
      <c r="B2" s="10" t="s">
        <v>24</v>
      </c>
      <c r="C2" s="10" t="s">
        <v>1</v>
      </c>
      <c r="D2" s="10" t="s">
        <v>2</v>
      </c>
      <c r="E2" s="10" t="s">
        <v>3</v>
      </c>
      <c r="F2" s="10" t="s">
        <v>31</v>
      </c>
      <c r="G2" s="6" t="s">
        <v>32</v>
      </c>
    </row>
    <row r="3" spans="1:7" ht="30" x14ac:dyDescent="0.25">
      <c r="A3" s="1" t="s">
        <v>7</v>
      </c>
      <c r="B3" s="7" t="s">
        <v>33</v>
      </c>
      <c r="C3" s="7" t="s">
        <v>8</v>
      </c>
      <c r="D3" s="7" t="s">
        <v>9</v>
      </c>
      <c r="E3" s="7" t="s">
        <v>10</v>
      </c>
      <c r="F3" s="2" t="str">
        <f>CONCATENATE(C3," ",LEFT(D3,1),".",LEFT(E3,1),".")</f>
        <v>Николаева А.Д.</v>
      </c>
      <c r="G3" s="11" t="s">
        <v>34</v>
      </c>
    </row>
    <row r="4" spans="1:7" ht="30" x14ac:dyDescent="0.25">
      <c r="A4" s="1" t="s">
        <v>11</v>
      </c>
      <c r="B4" s="7" t="s">
        <v>35</v>
      </c>
      <c r="C4" s="7" t="s">
        <v>12</v>
      </c>
      <c r="D4" s="7" t="s">
        <v>13</v>
      </c>
      <c r="E4" s="7" t="s">
        <v>14</v>
      </c>
      <c r="F4" s="2" t="str">
        <f t="shared" ref="F4:F7" si="0">CONCATENATE(C4," ",LEFT(D4,1),".",LEFT(E4,1),".")</f>
        <v>Николаев Е.А.</v>
      </c>
      <c r="G4" s="11" t="s">
        <v>36</v>
      </c>
    </row>
    <row r="5" spans="1:7" ht="30" x14ac:dyDescent="0.25">
      <c r="A5" s="1" t="s">
        <v>15</v>
      </c>
      <c r="B5" s="7" t="s">
        <v>37</v>
      </c>
      <c r="C5" s="7" t="s">
        <v>12</v>
      </c>
      <c r="D5" s="7" t="s">
        <v>16</v>
      </c>
      <c r="E5" s="7" t="s">
        <v>17</v>
      </c>
      <c r="F5" s="2" t="str">
        <f t="shared" si="0"/>
        <v>Николаев Д.М.</v>
      </c>
      <c r="G5" s="11" t="s">
        <v>38</v>
      </c>
    </row>
    <row r="6" spans="1:7" ht="30" x14ac:dyDescent="0.25">
      <c r="A6" s="1" t="s">
        <v>18</v>
      </c>
      <c r="B6" s="7" t="s">
        <v>39</v>
      </c>
      <c r="C6" s="7" t="s">
        <v>12</v>
      </c>
      <c r="D6" s="7" t="s">
        <v>19</v>
      </c>
      <c r="E6" s="7" t="s">
        <v>20</v>
      </c>
      <c r="F6" s="2" t="str">
        <f t="shared" si="0"/>
        <v>Николаев А.Д.</v>
      </c>
      <c r="G6" s="11" t="s">
        <v>40</v>
      </c>
    </row>
    <row r="7" spans="1:7" x14ac:dyDescent="0.25">
      <c r="A7" s="1" t="s">
        <v>21</v>
      </c>
      <c r="B7" s="7" t="s">
        <v>41</v>
      </c>
      <c r="C7" s="7" t="s">
        <v>8</v>
      </c>
      <c r="D7" s="7" t="s">
        <v>22</v>
      </c>
      <c r="E7" s="7" t="s">
        <v>10</v>
      </c>
      <c r="F7" s="2" t="str">
        <f t="shared" si="0"/>
        <v>Николаева Е.Д.</v>
      </c>
      <c r="G7" s="7"/>
    </row>
  </sheetData>
  <mergeCells count="1">
    <mergeCell ref="A1:G1"/>
  </mergeCells>
  <hyperlinks>
    <hyperlink ref="G3" r:id="rId1" xr:uid="{FDA65DE1-57B4-41E8-B5C7-A2EE24FB5D99}"/>
    <hyperlink ref="G4" r:id="rId2" xr:uid="{0F3EDE68-045E-4817-B1B3-AED756228D13}"/>
    <hyperlink ref="G5" r:id="rId3" xr:uid="{BE7DD8FE-6DC5-4C84-91FC-D14CCFDC1A65}"/>
    <hyperlink ref="G6" r:id="rId4" xr:uid="{9D01662A-7669-4627-9787-7889F07DA3C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676C-9D6E-44D3-975E-F4A2D2B58779}">
  <dimension ref="A1:F7"/>
  <sheetViews>
    <sheetView workbookViewId="0">
      <selection activeCell="E12" sqref="E12"/>
    </sheetView>
  </sheetViews>
  <sheetFormatPr defaultRowHeight="15" x14ac:dyDescent="0.25"/>
  <cols>
    <col min="3" max="3" width="16.7109375" customWidth="1"/>
    <col min="4" max="4" width="15.5703125" customWidth="1"/>
    <col min="5" max="5" width="15.85546875" customWidth="1"/>
  </cols>
  <sheetData>
    <row r="1" spans="1:6" x14ac:dyDescent="0.25">
      <c r="A1" s="28" t="s">
        <v>42</v>
      </c>
      <c r="B1" s="28"/>
      <c r="C1" s="28"/>
      <c r="D1" s="28"/>
      <c r="E1" s="28"/>
      <c r="F1" s="28"/>
    </row>
    <row r="2" spans="1:6" ht="105" x14ac:dyDescent="0.25">
      <c r="A2" s="2"/>
      <c r="B2" s="12" t="s">
        <v>43</v>
      </c>
      <c r="C2" s="12" t="s">
        <v>44</v>
      </c>
      <c r="D2" s="12" t="s">
        <v>45</v>
      </c>
      <c r="E2" s="12" t="s">
        <v>46</v>
      </c>
      <c r="F2" s="12" t="s">
        <v>47</v>
      </c>
    </row>
    <row r="3" spans="1:6" x14ac:dyDescent="0.25">
      <c r="A3" s="1" t="s">
        <v>7</v>
      </c>
      <c r="B3" s="2">
        <f ca="1">YEAR(TODAY())</f>
        <v>2026</v>
      </c>
      <c r="C3" s="4">
        <f ca="1">DATE(B3+1,1,1)</f>
        <v>46388</v>
      </c>
      <c r="D3" s="4">
        <f ca="1">DATE(B3,'[1]Моя семья'!F3,'[1]Моя семья'!E3)</f>
        <v>46362</v>
      </c>
      <c r="E3" s="4">
        <f ca="1">IF(D3&gt;=TODAY(),D3,DATE(B3+1,'[1]Моя семья'!F3,'[1]Моя семья'!E3))</f>
        <v>46362</v>
      </c>
      <c r="F3" s="9">
        <f ca="1">E3-TODAY()</f>
        <v>254</v>
      </c>
    </row>
    <row r="4" spans="1:6" x14ac:dyDescent="0.25">
      <c r="A4" s="1" t="s">
        <v>11</v>
      </c>
      <c r="B4" s="2">
        <f t="shared" ref="B4:B7" ca="1" si="0">YEAR(TODAY())</f>
        <v>2026</v>
      </c>
      <c r="C4" s="4">
        <f t="shared" ref="C4:C7" ca="1" si="1">DATE(B4+1,1,1)</f>
        <v>46388</v>
      </c>
      <c r="D4" s="4">
        <f ca="1">DATE(B4,'[1]Моя семья'!F4,'[1]Моя семья'!E4)</f>
        <v>46213</v>
      </c>
      <c r="E4" s="4">
        <f ca="1">IF(D4&gt;=TODAY(),D4,DATE(B4+1,'[1]Моя семья'!F4,'[1]Моя семья'!E4))</f>
        <v>46213</v>
      </c>
      <c r="F4" s="9">
        <f t="shared" ref="F4:F7" ca="1" si="2">E4-TODAY()</f>
        <v>105</v>
      </c>
    </row>
    <row r="5" spans="1:6" x14ac:dyDescent="0.25">
      <c r="A5" s="1" t="s">
        <v>15</v>
      </c>
      <c r="B5" s="2">
        <f t="shared" ca="1" si="0"/>
        <v>2026</v>
      </c>
      <c r="C5" s="4">
        <f t="shared" ca="1" si="1"/>
        <v>46388</v>
      </c>
      <c r="D5" s="4">
        <f ca="1">DATE(B5,'[1]Моя семья'!F5,'[1]Моя семья'!E5)</f>
        <v>46114</v>
      </c>
      <c r="E5" s="4">
        <f ca="1">IF(D5&gt;=TODAY(),D5,DATE(B5+1,'[1]Моя семья'!F5,'[1]Моя семья'!E5))</f>
        <v>46114</v>
      </c>
      <c r="F5" s="9">
        <f t="shared" ca="1" si="2"/>
        <v>6</v>
      </c>
    </row>
    <row r="6" spans="1:6" x14ac:dyDescent="0.25">
      <c r="A6" s="1" t="s">
        <v>18</v>
      </c>
      <c r="B6" s="2">
        <f t="shared" ca="1" si="0"/>
        <v>2026</v>
      </c>
      <c r="C6" s="4">
        <f t="shared" ca="1" si="1"/>
        <v>46388</v>
      </c>
      <c r="D6" s="4">
        <f ca="1">DATE(B6,'[1]Моя семья'!F6,'[1]Моя семья'!E6)</f>
        <v>46183</v>
      </c>
      <c r="E6" s="4">
        <f ca="1">IF(D6&gt;=TODAY(),D6,DATE(B6+1,'[1]Моя семья'!F6,'[1]Моя семья'!E6))</f>
        <v>46183</v>
      </c>
      <c r="F6" s="9">
        <f t="shared" ca="1" si="2"/>
        <v>75</v>
      </c>
    </row>
    <row r="7" spans="1:6" x14ac:dyDescent="0.25">
      <c r="A7" s="1" t="s">
        <v>21</v>
      </c>
      <c r="B7" s="2">
        <f t="shared" ca="1" si="0"/>
        <v>2026</v>
      </c>
      <c r="C7" s="4">
        <f t="shared" ca="1" si="1"/>
        <v>46388</v>
      </c>
      <c r="D7" s="4">
        <f ca="1">DATE(B7,'[1]Моя семья'!F7,'[1]Моя семья'!E7)</f>
        <v>46325</v>
      </c>
      <c r="E7" s="4">
        <f ca="1">IF(D7&gt;=TODAY(),D7,DATE(B7+1,'[1]Моя семья'!F7,'[1]Моя семья'!E7))</f>
        <v>46325</v>
      </c>
      <c r="F7" s="9">
        <f t="shared" ca="1" si="2"/>
        <v>217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606D-30DC-4F50-9B74-B9E2447A38AB}">
  <dimension ref="A1:J45"/>
  <sheetViews>
    <sheetView tabSelected="1" workbookViewId="0">
      <selection activeCell="J33" sqref="J33"/>
    </sheetView>
  </sheetViews>
  <sheetFormatPr defaultRowHeight="15" x14ac:dyDescent="0.25"/>
  <cols>
    <col min="1" max="1" width="11.140625" customWidth="1"/>
    <col min="2" max="2" width="14.7109375" customWidth="1"/>
    <col min="3" max="3" width="13.7109375" customWidth="1"/>
    <col min="4" max="4" width="12.140625" bestFit="1" customWidth="1"/>
    <col min="5" max="5" width="12.85546875" customWidth="1"/>
    <col min="6" max="6" width="9.28515625" customWidth="1"/>
    <col min="7" max="7" width="12.7109375" customWidth="1"/>
    <col min="8" max="8" width="8.7109375" bestFit="1" customWidth="1"/>
    <col min="10" max="10" width="9.28515625" customWidth="1"/>
  </cols>
  <sheetData>
    <row r="1" spans="1:10" ht="30" x14ac:dyDescent="0.25">
      <c r="A1" s="13" t="s">
        <v>48</v>
      </c>
      <c r="B1" s="13" t="s">
        <v>1</v>
      </c>
      <c r="C1" s="13" t="s">
        <v>2</v>
      </c>
      <c r="D1" s="13" t="s">
        <v>3</v>
      </c>
      <c r="E1" s="14" t="s">
        <v>49</v>
      </c>
      <c r="F1" s="14" t="s">
        <v>50</v>
      </c>
      <c r="G1" s="14" t="s">
        <v>51</v>
      </c>
      <c r="H1" s="14" t="s">
        <v>52</v>
      </c>
      <c r="I1" s="14" t="s">
        <v>53</v>
      </c>
      <c r="J1" s="14" t="s">
        <v>54</v>
      </c>
    </row>
    <row r="2" spans="1:10" x14ac:dyDescent="0.25">
      <c r="A2" s="2">
        <v>1</v>
      </c>
      <c r="B2" s="2" t="s">
        <v>55</v>
      </c>
      <c r="C2" s="2" t="s">
        <v>22</v>
      </c>
      <c r="D2" s="2" t="s">
        <v>56</v>
      </c>
      <c r="E2" s="2" t="str">
        <f>CONCATENATE(B2," ",LEFT(C2,1),".",LEFT(D2,1),".")</f>
        <v>Булахова Е.М.</v>
      </c>
      <c r="F2" s="15">
        <v>101</v>
      </c>
      <c r="G2" s="2">
        <v>5</v>
      </c>
      <c r="H2" s="2">
        <v>5</v>
      </c>
      <c r="I2" s="2">
        <v>5</v>
      </c>
      <c r="J2" s="16">
        <f>(G2+H2+I2)/3</f>
        <v>5</v>
      </c>
    </row>
    <row r="3" spans="1:10" x14ac:dyDescent="0.25">
      <c r="A3" s="2">
        <v>2</v>
      </c>
      <c r="B3" s="2" t="s">
        <v>57</v>
      </c>
      <c r="C3" s="2" t="s">
        <v>58</v>
      </c>
      <c r="D3" s="2" t="s">
        <v>59</v>
      </c>
      <c r="E3" s="2" t="str">
        <f t="shared" ref="E3:E14" si="0">CONCATENATE(B3," ",LEFT(C3,1),".",LEFT(D3,1),".")</f>
        <v>Галкина Д.С.</v>
      </c>
      <c r="F3" s="15">
        <v>101</v>
      </c>
      <c r="G3" s="2">
        <v>4</v>
      </c>
      <c r="H3" s="2">
        <v>4</v>
      </c>
      <c r="I3" s="2">
        <v>4</v>
      </c>
      <c r="J3" s="16">
        <f t="shared" ref="J3:J14" si="1">(G3+H3+I3)/3</f>
        <v>4</v>
      </c>
    </row>
    <row r="4" spans="1:10" x14ac:dyDescent="0.25">
      <c r="A4" s="2">
        <v>3</v>
      </c>
      <c r="B4" s="2" t="s">
        <v>60</v>
      </c>
      <c r="C4" s="2" t="s">
        <v>61</v>
      </c>
      <c r="D4" s="2" t="s">
        <v>62</v>
      </c>
      <c r="E4" s="2" t="str">
        <f t="shared" si="0"/>
        <v>Коваль А.М.</v>
      </c>
      <c r="F4" s="15">
        <v>101</v>
      </c>
      <c r="G4" s="2">
        <v>4</v>
      </c>
      <c r="H4" s="2">
        <v>4</v>
      </c>
      <c r="I4" s="2">
        <v>5</v>
      </c>
      <c r="J4" s="16">
        <f t="shared" si="1"/>
        <v>4.333333333333333</v>
      </c>
    </row>
    <row r="5" spans="1:10" x14ac:dyDescent="0.25">
      <c r="A5" s="2">
        <v>4</v>
      </c>
      <c r="B5" s="2" t="s">
        <v>63</v>
      </c>
      <c r="C5" s="2" t="s">
        <v>61</v>
      </c>
      <c r="D5" s="2" t="s">
        <v>64</v>
      </c>
      <c r="E5" s="2" t="str">
        <f t="shared" si="0"/>
        <v>Матчин А.С.</v>
      </c>
      <c r="F5" s="15">
        <v>101</v>
      </c>
      <c r="G5" s="2">
        <v>2</v>
      </c>
      <c r="H5" s="2">
        <v>5</v>
      </c>
      <c r="I5" s="2">
        <v>3</v>
      </c>
      <c r="J5" s="16">
        <f t="shared" si="1"/>
        <v>3.3333333333333335</v>
      </c>
    </row>
    <row r="6" spans="1:10" x14ac:dyDescent="0.25">
      <c r="A6" s="2">
        <v>5</v>
      </c>
      <c r="B6" s="2" t="s">
        <v>65</v>
      </c>
      <c r="C6" s="2" t="s">
        <v>66</v>
      </c>
      <c r="D6" s="2" t="s">
        <v>67</v>
      </c>
      <c r="E6" s="2" t="str">
        <f t="shared" si="0"/>
        <v>Морева П.М.</v>
      </c>
      <c r="F6" s="15">
        <v>101</v>
      </c>
      <c r="G6" s="2">
        <v>5</v>
      </c>
      <c r="H6" s="2">
        <v>3</v>
      </c>
      <c r="I6" s="2">
        <v>2</v>
      </c>
      <c r="J6" s="16">
        <f t="shared" si="1"/>
        <v>3.3333333333333335</v>
      </c>
    </row>
    <row r="7" spans="1:10" x14ac:dyDescent="0.25">
      <c r="A7" s="2">
        <v>6</v>
      </c>
      <c r="B7" s="2" t="s">
        <v>68</v>
      </c>
      <c r="C7" s="2" t="s">
        <v>69</v>
      </c>
      <c r="D7" s="2" t="s">
        <v>70</v>
      </c>
      <c r="E7" s="2" t="str">
        <f t="shared" si="0"/>
        <v>Новак О.А.</v>
      </c>
      <c r="F7" s="15">
        <v>102</v>
      </c>
      <c r="G7" s="2">
        <v>5</v>
      </c>
      <c r="H7" s="2">
        <v>3</v>
      </c>
      <c r="I7" s="2">
        <v>4</v>
      </c>
      <c r="J7" s="16">
        <f t="shared" si="1"/>
        <v>4</v>
      </c>
    </row>
    <row r="8" spans="1:10" x14ac:dyDescent="0.25">
      <c r="A8" s="2">
        <v>7</v>
      </c>
      <c r="B8" s="2" t="s">
        <v>71</v>
      </c>
      <c r="C8" s="2" t="s">
        <v>72</v>
      </c>
      <c r="D8" s="2" t="s">
        <v>73</v>
      </c>
      <c r="E8" s="2" t="str">
        <f t="shared" si="0"/>
        <v>Новиков Н.А.</v>
      </c>
      <c r="F8" s="15">
        <v>102</v>
      </c>
      <c r="G8" s="2">
        <v>4</v>
      </c>
      <c r="H8" s="2">
        <v>4</v>
      </c>
      <c r="I8" s="2">
        <v>4</v>
      </c>
      <c r="J8" s="16">
        <f t="shared" si="1"/>
        <v>4</v>
      </c>
    </row>
    <row r="9" spans="1:10" x14ac:dyDescent="0.25">
      <c r="A9" s="2">
        <v>8</v>
      </c>
      <c r="B9" s="2" t="s">
        <v>74</v>
      </c>
      <c r="C9" s="2" t="s">
        <v>75</v>
      </c>
      <c r="D9" s="2" t="s">
        <v>76</v>
      </c>
      <c r="E9" s="2" t="str">
        <f t="shared" si="0"/>
        <v>Пронькина Л.В.</v>
      </c>
      <c r="F9" s="15">
        <v>102</v>
      </c>
      <c r="G9" s="2">
        <v>5</v>
      </c>
      <c r="H9" s="2">
        <v>3</v>
      </c>
      <c r="I9" s="2">
        <v>2</v>
      </c>
      <c r="J9" s="16">
        <f t="shared" si="1"/>
        <v>3.3333333333333335</v>
      </c>
    </row>
    <row r="10" spans="1:10" x14ac:dyDescent="0.25">
      <c r="A10" s="2">
        <v>9</v>
      </c>
      <c r="B10" s="2" t="s">
        <v>77</v>
      </c>
      <c r="C10" s="2" t="s">
        <v>9</v>
      </c>
      <c r="D10" s="2" t="s">
        <v>78</v>
      </c>
      <c r="E10" s="2" t="str">
        <f t="shared" si="0"/>
        <v>Соляник А.Г.</v>
      </c>
      <c r="F10" s="15">
        <v>102</v>
      </c>
      <c r="G10" s="2">
        <v>5</v>
      </c>
      <c r="H10" s="2">
        <v>5</v>
      </c>
      <c r="I10" s="2">
        <v>5</v>
      </c>
      <c r="J10" s="16">
        <f t="shared" si="1"/>
        <v>5</v>
      </c>
    </row>
    <row r="11" spans="1:10" x14ac:dyDescent="0.25">
      <c r="A11" s="2">
        <v>10</v>
      </c>
      <c r="B11" s="2" t="s">
        <v>79</v>
      </c>
      <c r="C11" s="2" t="s">
        <v>58</v>
      </c>
      <c r="D11" s="2" t="s">
        <v>80</v>
      </c>
      <c r="E11" s="2" t="str">
        <f t="shared" si="0"/>
        <v>Судьина Д.А.</v>
      </c>
      <c r="F11" s="15">
        <v>102</v>
      </c>
      <c r="G11" s="2">
        <v>3</v>
      </c>
      <c r="H11" s="2">
        <v>5</v>
      </c>
      <c r="I11" s="2">
        <v>4</v>
      </c>
      <c r="J11" s="16">
        <f t="shared" si="1"/>
        <v>4</v>
      </c>
    </row>
    <row r="12" spans="1:10" x14ac:dyDescent="0.25">
      <c r="A12" s="2">
        <v>11</v>
      </c>
      <c r="B12" s="2" t="s">
        <v>81</v>
      </c>
      <c r="C12" s="2" t="s">
        <v>82</v>
      </c>
      <c r="D12" s="2" t="s">
        <v>83</v>
      </c>
      <c r="E12" s="2" t="str">
        <f t="shared" si="0"/>
        <v>Травкова А.В.</v>
      </c>
      <c r="F12" s="15">
        <v>103</v>
      </c>
      <c r="G12" s="2">
        <v>4</v>
      </c>
      <c r="H12" s="2">
        <v>4</v>
      </c>
      <c r="I12" s="2">
        <v>3</v>
      </c>
      <c r="J12" s="16">
        <f t="shared" si="1"/>
        <v>3.6666666666666665</v>
      </c>
    </row>
    <row r="13" spans="1:10" x14ac:dyDescent="0.25">
      <c r="A13" s="2">
        <v>12</v>
      </c>
      <c r="B13" s="2" t="s">
        <v>84</v>
      </c>
      <c r="C13" s="2" t="s">
        <v>85</v>
      </c>
      <c r="D13" s="2" t="s">
        <v>86</v>
      </c>
      <c r="E13" s="2" t="str">
        <f t="shared" si="0"/>
        <v>Уралова Н.И.</v>
      </c>
      <c r="F13" s="15">
        <v>103</v>
      </c>
      <c r="G13" s="2">
        <v>2</v>
      </c>
      <c r="H13" s="2">
        <v>2</v>
      </c>
      <c r="I13" s="2">
        <v>2</v>
      </c>
      <c r="J13" s="16">
        <f t="shared" si="1"/>
        <v>2</v>
      </c>
    </row>
    <row r="14" spans="1:10" x14ac:dyDescent="0.25">
      <c r="A14" s="2">
        <v>13</v>
      </c>
      <c r="B14" s="2" t="s">
        <v>87</v>
      </c>
      <c r="C14" s="2" t="s">
        <v>88</v>
      </c>
      <c r="D14" s="2" t="s">
        <v>59</v>
      </c>
      <c r="E14" s="2" t="str">
        <f t="shared" si="0"/>
        <v>Чубанова З.С.</v>
      </c>
      <c r="F14" s="15">
        <v>103</v>
      </c>
      <c r="G14" s="2">
        <v>3</v>
      </c>
      <c r="H14" s="2">
        <v>3</v>
      </c>
      <c r="I14" s="2">
        <v>4</v>
      </c>
      <c r="J14" s="16">
        <f t="shared" si="1"/>
        <v>3.3333333333333335</v>
      </c>
    </row>
    <row r="15" spans="1:10" x14ac:dyDescent="0.25">
      <c r="A15" s="2"/>
      <c r="B15" s="2"/>
      <c r="C15" s="2"/>
      <c r="D15" s="2"/>
      <c r="E15" s="2"/>
      <c r="F15" s="2"/>
      <c r="G15" s="16">
        <f>SUM(G2:G14)/13</f>
        <v>3.9230769230769229</v>
      </c>
      <c r="H15" s="16">
        <f t="shared" ref="H15" si="2">SUM(H2:H14)/13</f>
        <v>3.8461538461538463</v>
      </c>
      <c r="I15" s="16">
        <f>SUM(I2:I14)/13</f>
        <v>3.6153846153846154</v>
      </c>
      <c r="J15" s="16">
        <f>SUM(J2:J14)/13</f>
        <v>3.7948717948717947</v>
      </c>
    </row>
    <row r="16" spans="1:10" x14ac:dyDescent="0.25">
      <c r="B16" s="22" t="s">
        <v>89</v>
      </c>
      <c r="C16" s="22"/>
      <c r="D16" s="22"/>
      <c r="E16" s="22"/>
    </row>
    <row r="17" spans="1:7" x14ac:dyDescent="0.25">
      <c r="B17" s="2"/>
      <c r="C17" s="17" t="s">
        <v>51</v>
      </c>
      <c r="D17" s="1" t="s">
        <v>52</v>
      </c>
      <c r="E17" s="1" t="s">
        <v>90</v>
      </c>
    </row>
    <row r="18" spans="1:7" x14ac:dyDescent="0.25">
      <c r="B18" s="1" t="s">
        <v>91</v>
      </c>
      <c r="C18" s="18">
        <f>COUNTIF(G2:G14,5)</f>
        <v>5</v>
      </c>
      <c r="D18" s="18">
        <f>COUNTIF(H2:H14,5)</f>
        <v>4</v>
      </c>
      <c r="E18" s="18">
        <f>COUNTIF(I2:I14,5)</f>
        <v>3</v>
      </c>
    </row>
    <row r="19" spans="1:7" x14ac:dyDescent="0.25">
      <c r="B19" s="1" t="s">
        <v>92</v>
      </c>
      <c r="C19" s="19">
        <f>COUNTIF(G2:G14,4)</f>
        <v>4</v>
      </c>
      <c r="D19" s="18">
        <f>COUNTIF(H2:H14,4)</f>
        <v>4</v>
      </c>
      <c r="E19" s="18">
        <f>COUNTIF(I2:I14,4)</f>
        <v>5</v>
      </c>
    </row>
    <row r="20" spans="1:7" x14ac:dyDescent="0.25">
      <c r="B20" s="1" t="s">
        <v>93</v>
      </c>
      <c r="C20" s="19">
        <f>COUNTIF(G2:G14,3)</f>
        <v>2</v>
      </c>
      <c r="D20" s="18">
        <f>COUNTIF(H2:H14,3)</f>
        <v>4</v>
      </c>
      <c r="E20" s="18">
        <f>COUNTIF(I2:I14,3)</f>
        <v>2</v>
      </c>
    </row>
    <row r="21" spans="1:7" x14ac:dyDescent="0.25">
      <c r="B21" s="1" t="s">
        <v>94</v>
      </c>
      <c r="C21" s="19">
        <f>COUNTIF(G2:G14,2)</f>
        <v>2</v>
      </c>
      <c r="D21" s="18">
        <f>COUNTIF(H2:H14,2)</f>
        <v>1</v>
      </c>
      <c r="E21" s="18">
        <f>COUNTIF(I2:I14,2)</f>
        <v>3</v>
      </c>
    </row>
    <row r="22" spans="1:7" x14ac:dyDescent="0.25">
      <c r="C22" s="20"/>
    </row>
    <row r="23" spans="1:7" x14ac:dyDescent="0.25">
      <c r="B23" s="23" t="s">
        <v>95</v>
      </c>
      <c r="C23" s="23"/>
      <c r="D23" s="23"/>
      <c r="E23" s="23"/>
      <c r="F23" s="23"/>
      <c r="G23" s="23"/>
    </row>
    <row r="24" spans="1:7" ht="45" x14ac:dyDescent="0.25">
      <c r="B24" s="1" t="s">
        <v>48</v>
      </c>
      <c r="C24" s="7" t="s">
        <v>51</v>
      </c>
      <c r="D24" s="7" t="s">
        <v>52</v>
      </c>
      <c r="E24" s="7" t="s">
        <v>53</v>
      </c>
      <c r="F24" s="7" t="s">
        <v>96</v>
      </c>
      <c r="G24" s="7" t="s">
        <v>54</v>
      </c>
    </row>
    <row r="25" spans="1:7" x14ac:dyDescent="0.25">
      <c r="B25" s="2">
        <v>101</v>
      </c>
      <c r="C25" s="2">
        <f>AVERAGEIF(F2:F14,101,G2:G14)</f>
        <v>4</v>
      </c>
      <c r="D25" s="2">
        <f>AVERAGEIF(F2:F14,101,H2:H14)</f>
        <v>4.2</v>
      </c>
      <c r="E25" s="2">
        <f>AVERAGEIF(F2:F14,101,I2:I14)</f>
        <v>3.8</v>
      </c>
      <c r="F25" s="2">
        <f>COUNTIF($F$2:$F$14, B25)</f>
        <v>5</v>
      </c>
      <c r="G25" s="2">
        <f>AVERAGE(C25:E25)</f>
        <v>4</v>
      </c>
    </row>
    <row r="26" spans="1:7" x14ac:dyDescent="0.25">
      <c r="B26" s="2">
        <v>102</v>
      </c>
      <c r="C26" s="2">
        <f>AVERAGEIF(F2:F14,102,G2:G14)</f>
        <v>4.4000000000000004</v>
      </c>
      <c r="D26" s="2">
        <f>AVERAGEIF(F2:F14,102,H2:H14)</f>
        <v>4</v>
      </c>
      <c r="E26" s="2">
        <f>AVERAGEIF(F2:F14,102,I2:I14)</f>
        <v>3.8</v>
      </c>
      <c r="F26" s="2">
        <f>COUNTIF($F$2:$F$14, B26)</f>
        <v>5</v>
      </c>
      <c r="G26" s="2">
        <f t="shared" ref="G26" si="3">AVERAGE(C26:E26)</f>
        <v>4.0666666666666664</v>
      </c>
    </row>
    <row r="27" spans="1:7" x14ac:dyDescent="0.25">
      <c r="B27" s="2">
        <v>103</v>
      </c>
      <c r="C27" s="2">
        <f>AVERAGEIF(F2:F14,103,G2:G14)</f>
        <v>3</v>
      </c>
      <c r="D27" s="2">
        <f>AVERAGEIF(F2:F14,103,H2:H14)</f>
        <v>3</v>
      </c>
      <c r="E27" s="2">
        <f>AVERAGEIF(F2:F14,103,I2:I14)</f>
        <v>3</v>
      </c>
      <c r="F27" s="2">
        <f>COUNTIF($F$2:$F$14, B27)</f>
        <v>3</v>
      </c>
      <c r="G27" s="2">
        <f>AVERAGE(C27:E27)</f>
        <v>3</v>
      </c>
    </row>
    <row r="29" spans="1:7" ht="30" x14ac:dyDescent="0.25">
      <c r="B29" s="21" t="s">
        <v>97</v>
      </c>
      <c r="C29">
        <f>COUNTIF(C32:C44, "Отличник")</f>
        <v>2</v>
      </c>
    </row>
    <row r="30" spans="1:7" ht="30" x14ac:dyDescent="0.25">
      <c r="B30" s="21" t="s">
        <v>98</v>
      </c>
      <c r="C30">
        <f>COUNTIF(G32:G44, "Двоечник")</f>
        <v>4</v>
      </c>
    </row>
    <row r="31" spans="1:7" x14ac:dyDescent="0.25">
      <c r="A31" s="29">
        <v>5</v>
      </c>
      <c r="B31" s="30"/>
      <c r="C31" s="31"/>
      <c r="E31" s="29">
        <v>2</v>
      </c>
      <c r="F31" s="30"/>
      <c r="G31" s="31"/>
    </row>
    <row r="32" spans="1:7" x14ac:dyDescent="0.25">
      <c r="A32" s="32" t="str">
        <f>IF(C32="Отличник",B2,0)</f>
        <v>Булахова</v>
      </c>
      <c r="B32" s="33">
        <v>1</v>
      </c>
      <c r="C32" s="34" t="str">
        <f>IF(AND(G2=5, H2=5, I2=5), "Отличник", "")</f>
        <v>Отличник</v>
      </c>
      <c r="E32" s="32">
        <f t="shared" ref="E32:E34" si="4">IF(G32="Двоечник",B2,0)</f>
        <v>0</v>
      </c>
      <c r="F32" s="33">
        <v>1</v>
      </c>
      <c r="G32" s="34" t="str">
        <f>IF(OR(G2=2, H2=2, I2=2), "Двоечник", "")</f>
        <v/>
      </c>
    </row>
    <row r="33" spans="1:7" x14ac:dyDescent="0.25">
      <c r="A33" s="32">
        <f t="shared" ref="A33:A44" si="5">IF(C33="Отличник",B3,0)</f>
        <v>0</v>
      </c>
      <c r="B33" s="33">
        <v>2</v>
      </c>
      <c r="C33" s="34" t="str">
        <f t="shared" ref="C33:C45" si="6">IF(AND(G3=5, H3=5, I3=5), "Отличник", "")</f>
        <v/>
      </c>
      <c r="E33" s="32">
        <f t="shared" si="4"/>
        <v>0</v>
      </c>
      <c r="F33" s="33">
        <v>2</v>
      </c>
      <c r="G33" s="34" t="str">
        <f t="shared" ref="G33:G44" si="7">IF(OR(G3=2, H3=2, I3=2), "Двоечник", "")</f>
        <v/>
      </c>
    </row>
    <row r="34" spans="1:7" x14ac:dyDescent="0.25">
      <c r="A34" s="32">
        <f t="shared" si="5"/>
        <v>0</v>
      </c>
      <c r="B34" s="33">
        <v>3</v>
      </c>
      <c r="C34" s="34" t="str">
        <f t="shared" si="6"/>
        <v/>
      </c>
      <c r="E34" s="32">
        <f t="shared" si="4"/>
        <v>0</v>
      </c>
      <c r="F34" s="33">
        <v>3</v>
      </c>
      <c r="G34" s="34" t="str">
        <f t="shared" si="7"/>
        <v/>
      </c>
    </row>
    <row r="35" spans="1:7" x14ac:dyDescent="0.25">
      <c r="A35" s="32">
        <f t="shared" si="5"/>
        <v>0</v>
      </c>
      <c r="B35" s="33">
        <v>4</v>
      </c>
      <c r="C35" s="34" t="str">
        <f t="shared" si="6"/>
        <v/>
      </c>
      <c r="E35" s="32" t="str">
        <f>IF(G35="Двоечник",B5,0)</f>
        <v>Матчин</v>
      </c>
      <c r="F35" s="33">
        <v>4</v>
      </c>
      <c r="G35" s="34" t="str">
        <f t="shared" si="7"/>
        <v>Двоечник</v>
      </c>
    </row>
    <row r="36" spans="1:7" x14ac:dyDescent="0.25">
      <c r="A36" s="32">
        <f t="shared" si="5"/>
        <v>0</v>
      </c>
      <c r="B36" s="33">
        <v>5</v>
      </c>
      <c r="C36" s="34" t="str">
        <f t="shared" si="6"/>
        <v/>
      </c>
      <c r="E36" s="32" t="str">
        <f t="shared" ref="E36:E44" si="8">IF(G36="Двоечник",B6,0)</f>
        <v>Морева</v>
      </c>
      <c r="F36" s="33">
        <v>5</v>
      </c>
      <c r="G36" s="34" t="str">
        <f t="shared" si="7"/>
        <v>Двоечник</v>
      </c>
    </row>
    <row r="37" spans="1:7" x14ac:dyDescent="0.25">
      <c r="A37" s="32">
        <f t="shared" si="5"/>
        <v>0</v>
      </c>
      <c r="B37" s="33">
        <v>6</v>
      </c>
      <c r="C37" s="34" t="str">
        <f t="shared" si="6"/>
        <v/>
      </c>
      <c r="E37" s="32">
        <f t="shared" si="8"/>
        <v>0</v>
      </c>
      <c r="F37" s="33">
        <v>6</v>
      </c>
      <c r="G37" s="34" t="str">
        <f t="shared" si="7"/>
        <v/>
      </c>
    </row>
    <row r="38" spans="1:7" x14ac:dyDescent="0.25">
      <c r="A38" s="32">
        <f t="shared" si="5"/>
        <v>0</v>
      </c>
      <c r="B38" s="33">
        <v>7</v>
      </c>
      <c r="C38" s="34" t="str">
        <f t="shared" si="6"/>
        <v/>
      </c>
      <c r="E38" s="32">
        <f t="shared" si="8"/>
        <v>0</v>
      </c>
      <c r="F38" s="33">
        <v>7</v>
      </c>
      <c r="G38" s="34" t="str">
        <f t="shared" si="7"/>
        <v/>
      </c>
    </row>
    <row r="39" spans="1:7" x14ac:dyDescent="0.25">
      <c r="A39" s="32">
        <f t="shared" si="5"/>
        <v>0</v>
      </c>
      <c r="B39" s="33">
        <v>8</v>
      </c>
      <c r="C39" s="34" t="str">
        <f t="shared" si="6"/>
        <v/>
      </c>
      <c r="E39" s="32" t="str">
        <f t="shared" si="8"/>
        <v>Пронькина</v>
      </c>
      <c r="F39" s="33">
        <v>8</v>
      </c>
      <c r="G39" s="34" t="str">
        <f t="shared" si="7"/>
        <v>Двоечник</v>
      </c>
    </row>
    <row r="40" spans="1:7" x14ac:dyDescent="0.25">
      <c r="A40" s="32" t="str">
        <f t="shared" si="5"/>
        <v>Соляник</v>
      </c>
      <c r="B40" s="33">
        <v>9</v>
      </c>
      <c r="C40" s="34" t="str">
        <f t="shared" si="6"/>
        <v>Отличник</v>
      </c>
      <c r="E40" s="32">
        <f t="shared" si="8"/>
        <v>0</v>
      </c>
      <c r="F40" s="33">
        <v>9</v>
      </c>
      <c r="G40" s="34" t="str">
        <f t="shared" si="7"/>
        <v/>
      </c>
    </row>
    <row r="41" spans="1:7" x14ac:dyDescent="0.25">
      <c r="A41" s="32">
        <f t="shared" si="5"/>
        <v>0</v>
      </c>
      <c r="B41" s="33">
        <v>10</v>
      </c>
      <c r="C41" s="34" t="str">
        <f t="shared" si="6"/>
        <v/>
      </c>
      <c r="E41" s="32">
        <f t="shared" si="8"/>
        <v>0</v>
      </c>
      <c r="F41" s="33">
        <v>10</v>
      </c>
      <c r="G41" s="34" t="str">
        <f t="shared" si="7"/>
        <v/>
      </c>
    </row>
    <row r="42" spans="1:7" x14ac:dyDescent="0.25">
      <c r="A42" s="32">
        <f t="shared" si="5"/>
        <v>0</v>
      </c>
      <c r="B42" s="33">
        <v>11</v>
      </c>
      <c r="C42" s="34" t="str">
        <f t="shared" si="6"/>
        <v/>
      </c>
      <c r="E42" s="32">
        <f t="shared" si="8"/>
        <v>0</v>
      </c>
      <c r="F42" s="33">
        <v>11</v>
      </c>
      <c r="G42" s="34" t="str">
        <f t="shared" si="7"/>
        <v/>
      </c>
    </row>
    <row r="43" spans="1:7" x14ac:dyDescent="0.25">
      <c r="A43" s="32">
        <f t="shared" si="5"/>
        <v>0</v>
      </c>
      <c r="B43" s="33">
        <v>12</v>
      </c>
      <c r="C43" s="34" t="str">
        <f t="shared" si="6"/>
        <v/>
      </c>
      <c r="E43" s="32" t="str">
        <f t="shared" si="8"/>
        <v>Уралова</v>
      </c>
      <c r="F43" s="33">
        <v>12</v>
      </c>
      <c r="G43" s="34" t="str">
        <f t="shared" si="7"/>
        <v>Двоечник</v>
      </c>
    </row>
    <row r="44" spans="1:7" x14ac:dyDescent="0.25">
      <c r="A44" s="35">
        <f t="shared" si="5"/>
        <v>0</v>
      </c>
      <c r="B44" s="36">
        <v>13</v>
      </c>
      <c r="C44" s="37" t="str">
        <f t="shared" si="6"/>
        <v/>
      </c>
      <c r="E44" s="35">
        <f t="shared" si="8"/>
        <v>0</v>
      </c>
      <c r="F44" s="36">
        <v>13</v>
      </c>
      <c r="G44" s="37" t="str">
        <f t="shared" si="7"/>
        <v/>
      </c>
    </row>
    <row r="45" spans="1:7" x14ac:dyDescent="0.25">
      <c r="C45" t="str">
        <f t="shared" si="6"/>
        <v/>
      </c>
    </row>
  </sheetData>
  <mergeCells count="2">
    <mergeCell ref="B16:E16"/>
    <mergeCell ref="B23:G23"/>
  </mergeCells>
  <conditionalFormatting sqref="B2">
    <cfRule type="cellIs" dxfId="6" priority="6" operator="equal">
      <formula>$A$32</formula>
    </cfRule>
  </conditionalFormatting>
  <conditionalFormatting sqref="B2:B14">
    <cfRule type="cellIs" dxfId="5" priority="7" operator="equal">
      <formula>$C$32:$C$44="Отличник"</formula>
    </cfRule>
  </conditionalFormatting>
  <conditionalFormatting sqref="B5">
    <cfRule type="cellIs" dxfId="4" priority="4" operator="equal">
      <formula>$E$35</formula>
    </cfRule>
  </conditionalFormatting>
  <conditionalFormatting sqref="B6">
    <cfRule type="cellIs" dxfId="3" priority="3" operator="equal">
      <formula>$E$36</formula>
    </cfRule>
  </conditionalFormatting>
  <conditionalFormatting sqref="B9">
    <cfRule type="cellIs" dxfId="2" priority="2" operator="equal">
      <formula>$E$39</formula>
    </cfRule>
  </conditionalFormatting>
  <conditionalFormatting sqref="B10">
    <cfRule type="cellIs" dxfId="1" priority="5" operator="equal">
      <formula>$A$40</formula>
    </cfRule>
  </conditionalFormatting>
  <conditionalFormatting sqref="B13">
    <cfRule type="cellIs" dxfId="0" priority="1" operator="equal">
      <formula>$E$43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farfromsouls</dc:creator>
  <cp:lastModifiedBy>Ян Карапетьян</cp:lastModifiedBy>
  <dcterms:created xsi:type="dcterms:W3CDTF">2015-06-05T18:19:34Z</dcterms:created>
  <dcterms:modified xsi:type="dcterms:W3CDTF">2026-03-26T17:13:01Z</dcterms:modified>
</cp:coreProperties>
</file>