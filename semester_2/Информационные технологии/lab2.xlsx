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rfromsouls\Desktop\"/>
    </mc:Choice>
  </mc:AlternateContent>
  <xr:revisionPtr revIDLastSave="0" documentId="13_ncr:1_{F3782332-9A5A-42F8-9D21-F3161C3F9EC2}" xr6:coauthVersionLast="47" xr6:coauthVersionMax="47" xr10:uidLastSave="{00000000-0000-0000-0000-000000000000}"/>
  <bookViews>
    <workbookView xWindow="-120" yWindow="-120" windowWidth="29040" windowHeight="15840" tabRatio="598" activeTab="3" xr2:uid="{00000000-000D-0000-FFFF-FFFF00000000}"/>
  </bookViews>
  <sheets>
    <sheet name="Выручка" sheetId="1" r:id="rId1"/>
    <sheet name="График" sheetId="4" r:id="rId2"/>
    <sheet name="Себестоимость" sheetId="2" r:id="rId3"/>
    <sheet name="Прибыль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3" i="3"/>
  <c r="C10" i="3"/>
  <c r="D10" i="3"/>
  <c r="E10" i="3"/>
  <c r="F10" i="3"/>
  <c r="G10" i="3"/>
  <c r="B10" i="3"/>
  <c r="C3" i="3"/>
  <c r="D3" i="3"/>
  <c r="E3" i="3"/>
  <c r="F3" i="3"/>
  <c r="G3" i="3"/>
  <c r="C4" i="3"/>
  <c r="D4" i="3"/>
  <c r="E4" i="3"/>
  <c r="F4" i="3"/>
  <c r="G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B4" i="3"/>
  <c r="B5" i="3"/>
  <c r="B6" i="3"/>
  <c r="B7" i="3"/>
  <c r="B8" i="3"/>
  <c r="B9" i="3"/>
  <c r="B3" i="3"/>
  <c r="E10" i="2"/>
  <c r="C10" i="2"/>
  <c r="D10" i="2"/>
  <c r="F10" i="2"/>
  <c r="G10" i="2"/>
  <c r="H10" i="2"/>
  <c r="I10" i="2"/>
  <c r="K4" i="1"/>
  <c r="K5" i="1"/>
  <c r="K6" i="1"/>
  <c r="K7" i="1"/>
  <c r="K8" i="1"/>
  <c r="K9" i="1"/>
  <c r="K3" i="1"/>
  <c r="L4" i="2"/>
  <c r="L5" i="2"/>
  <c r="L6" i="2"/>
  <c r="L7" i="2"/>
  <c r="L8" i="2"/>
  <c r="L9" i="2"/>
  <c r="L3" i="2"/>
  <c r="K4" i="2"/>
  <c r="K5" i="2"/>
  <c r="K6" i="2"/>
  <c r="K7" i="2"/>
  <c r="K8" i="2"/>
  <c r="K9" i="2"/>
  <c r="K3" i="2"/>
  <c r="J4" i="2"/>
  <c r="J5" i="2"/>
  <c r="J6" i="2"/>
  <c r="J7" i="2"/>
  <c r="J8" i="2"/>
  <c r="J9" i="2"/>
  <c r="J3" i="2"/>
  <c r="I4" i="2"/>
  <c r="I5" i="2"/>
  <c r="I6" i="2"/>
  <c r="I7" i="2"/>
  <c r="I8" i="2"/>
  <c r="I9" i="2"/>
  <c r="I3" i="2"/>
  <c r="K10" i="2" l="1"/>
  <c r="L10" i="2"/>
  <c r="J10" i="2"/>
</calcChain>
</file>

<file path=xl/sharedStrings.xml><?xml version="1.0" encoding="utf-8"?>
<sst xmlns="http://schemas.openxmlformats.org/spreadsheetml/2006/main" count="73" uniqueCount="45">
  <si>
    <t>№ п/п</t>
  </si>
  <si>
    <t>Магазин</t>
  </si>
  <si>
    <t>1994, долл.</t>
  </si>
  <si>
    <t>1995, долл.</t>
  </si>
  <si>
    <t>1996, долл.</t>
  </si>
  <si>
    <t>1997, долл.</t>
  </si>
  <si>
    <t>1998, долл.</t>
  </si>
  <si>
    <t>1999, долл.</t>
  </si>
  <si>
    <t>Всего за 6 лет, долл.</t>
  </si>
  <si>
    <t>Доля в общей выручке</t>
  </si>
  <si>
    <t>Ранг</t>
  </si>
  <si>
    <t>Тенденция за последние 3 года</t>
  </si>
  <si>
    <t>1</t>
  </si>
  <si>
    <t>Дом книги</t>
  </si>
  <si>
    <t>15,66%</t>
  </si>
  <si>
    <t>4</t>
  </si>
  <si>
    <t>Стабильное снижение</t>
  </si>
  <si>
    <t>2</t>
  </si>
  <si>
    <t>Книжный мир</t>
  </si>
  <si>
    <t>18,68%</t>
  </si>
  <si>
    <t>5</t>
  </si>
  <si>
    <t>Стабильный рост</t>
  </si>
  <si>
    <t>3</t>
  </si>
  <si>
    <t>Знание</t>
  </si>
  <si>
    <t>2,93%</t>
  </si>
  <si>
    <t>Наука</t>
  </si>
  <si>
    <t>3,42%</t>
  </si>
  <si>
    <t>Нестабильные изменения</t>
  </si>
  <si>
    <t>Мысль</t>
  </si>
  <si>
    <t>28,96%</t>
  </si>
  <si>
    <t>7</t>
  </si>
  <si>
    <t>Неизменное состояние</t>
  </si>
  <si>
    <t>6</t>
  </si>
  <si>
    <t>Книжный двор</t>
  </si>
  <si>
    <t>3,64%</t>
  </si>
  <si>
    <t>Книголюб</t>
  </si>
  <si>
    <t>26,72%</t>
  </si>
  <si>
    <t>Итого</t>
  </si>
  <si>
    <t/>
  </si>
  <si>
    <t>131 199,7</t>
  </si>
  <si>
    <t>100,00%</t>
  </si>
  <si>
    <t>Среднегодовая себестоимость</t>
  </si>
  <si>
    <t>Максимальная себестоимость</t>
  </si>
  <si>
    <t>Минимальная себестоимость</t>
  </si>
  <si>
    <t>Годы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</si>
</sst>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2" fontId="0" fillId="0" borderId="1" xfId="0" applyNumberFormat="1" applyBorder="1"/>
    <xf numFmtId="14" fontId="1" fillId="0" borderId="6" xfId="0" applyNumberFormat="1" applyFont="1" applyBorder="1" applyAlignment="1">
      <alignment horizontal="center" vertical="center"/>
    </xf>
    <xf numFmtId="0" fontId="0" fillId="0" borderId="5" xfId="0" applyBorder="1"/>
    <xf numFmtId="2" fontId="0" fillId="0" borderId="6" xfId="0" applyNumberFormat="1" applyBorder="1"/>
    <xf numFmtId="0" fontId="0" fillId="0" borderId="7" xfId="0" applyBorder="1"/>
    <xf numFmtId="49" fontId="0" fillId="0" borderId="8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5" xfId="0" applyNumberFormat="1" applyBorder="1"/>
    <xf numFmtId="0" fontId="0" fillId="0" borderId="6" xfId="0" applyBorder="1"/>
    <xf numFmtId="2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3" borderId="8" xfId="0" applyFill="1" applyBorder="1"/>
    <xf numFmtId="4" fontId="0" fillId="3" borderId="8" xfId="0" applyNumberFormat="1" applyFill="1" applyBorder="1"/>
    <xf numFmtId="0" fontId="1" fillId="0" borderId="1" xfId="0" applyFont="1" applyBorder="1" applyAlignment="1">
      <alignment horizontal="center" vertical="center"/>
    </xf>
    <xf numFmtId="3" fontId="0" fillId="0" borderId="1" xfId="0" applyNumberFormat="1" applyBorder="1"/>
    <xf numFmtId="0" fontId="0" fillId="0" borderId="22" xfId="0" applyBorder="1"/>
    <xf numFmtId="10" fontId="0" fillId="0" borderId="23" xfId="0" applyNumberFormat="1" applyBorder="1"/>
    <xf numFmtId="0" fontId="1" fillId="0" borderId="24" xfId="0" applyFont="1" applyBorder="1"/>
    <xf numFmtId="3" fontId="1" fillId="0" borderId="25" xfId="0" applyNumberFormat="1" applyFont="1" applyBorder="1"/>
    <xf numFmtId="4" fontId="1" fillId="0" borderId="25" xfId="0" applyNumberFormat="1" applyFont="1" applyBorder="1"/>
    <xf numFmtId="10" fontId="1" fillId="0" borderId="26" xfId="0" applyNumberFormat="1" applyFont="1" applyBorder="1"/>
    <xf numFmtId="0" fontId="0" fillId="0" borderId="1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4" fontId="0" fillId="0" borderId="1" xfId="0" applyNumberFormat="1" applyBorder="1"/>
    <xf numFmtId="4" fontId="0" fillId="0" borderId="6" xfId="0" applyNumberFormat="1" applyBorder="1"/>
    <xf numFmtId="4" fontId="0" fillId="3" borderId="8" xfId="0" applyNumberFormat="1" applyFill="1" applyBorder="1"/>
    <xf numFmtId="4" fontId="0" fillId="3" borderId="9" xfId="0" applyNumberForma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Магазины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2757794946993127E-2"/>
          <c:y val="0.17171296296296296"/>
          <c:w val="0.65685096874627757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Выручка!$C$2</c:f>
              <c:strCache>
                <c:ptCount val="1"/>
                <c:pt idx="0">
                  <c:v>1994, долл.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Выручка!$B$3:$B$9</c:f>
              <c:strCache>
                <c:ptCount val="7"/>
                <c:pt idx="0">
                  <c:v>Дом книги</c:v>
                </c:pt>
                <c:pt idx="1">
                  <c:v>Книжный мир</c:v>
                </c:pt>
                <c:pt idx="2">
                  <c:v>Знание</c:v>
                </c:pt>
                <c:pt idx="3">
                  <c:v>Наука</c:v>
                </c:pt>
                <c:pt idx="4">
                  <c:v>Мысль</c:v>
                </c:pt>
                <c:pt idx="5">
                  <c:v>Книжный двор</c:v>
                </c:pt>
                <c:pt idx="6">
                  <c:v>Книголюб</c:v>
                </c:pt>
              </c:strCache>
            </c:strRef>
          </c:cat>
          <c:val>
            <c:numRef>
              <c:f>Выручка!$C$3:$C$9</c:f>
              <c:numCache>
                <c:formatCode>0.00</c:formatCode>
                <c:ptCount val="7"/>
                <c:pt idx="0">
                  <c:v>2456.1</c:v>
                </c:pt>
                <c:pt idx="1">
                  <c:v>3520</c:v>
                </c:pt>
                <c:pt idx="2">
                  <c:v>676.2</c:v>
                </c:pt>
                <c:pt idx="3">
                  <c:v>353.3</c:v>
                </c:pt>
                <c:pt idx="4">
                  <c:v>7547.5</c:v>
                </c:pt>
                <c:pt idx="5">
                  <c:v>655.4</c:v>
                </c:pt>
                <c:pt idx="6">
                  <c:v>4000.6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AB-4436-A666-BE9D6F82E9BC}"/>
            </c:ext>
          </c:extLst>
        </c:ser>
        <c:ser>
          <c:idx val="1"/>
          <c:order val="1"/>
          <c:tx>
            <c:strRef>
              <c:f>Выручка!$D$2</c:f>
              <c:strCache>
                <c:ptCount val="1"/>
                <c:pt idx="0">
                  <c:v>1995, долл.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Выручка!$B$3:$B$9</c:f>
              <c:strCache>
                <c:ptCount val="7"/>
                <c:pt idx="0">
                  <c:v>Дом книги</c:v>
                </c:pt>
                <c:pt idx="1">
                  <c:v>Книжный мир</c:v>
                </c:pt>
                <c:pt idx="2">
                  <c:v>Знание</c:v>
                </c:pt>
                <c:pt idx="3">
                  <c:v>Наука</c:v>
                </c:pt>
                <c:pt idx="4">
                  <c:v>Мысль</c:v>
                </c:pt>
                <c:pt idx="5">
                  <c:v>Книжный двор</c:v>
                </c:pt>
                <c:pt idx="6">
                  <c:v>Книголюб</c:v>
                </c:pt>
              </c:strCache>
            </c:strRef>
          </c:cat>
          <c:val>
            <c:numRef>
              <c:f>Выручка!$D$3:$D$9</c:f>
              <c:numCache>
                <c:formatCode>0.00</c:formatCode>
                <c:ptCount val="7"/>
                <c:pt idx="0">
                  <c:v>2562</c:v>
                </c:pt>
                <c:pt idx="1">
                  <c:v>3645.2</c:v>
                </c:pt>
                <c:pt idx="2">
                  <c:v>525.20000000000005</c:v>
                </c:pt>
                <c:pt idx="3">
                  <c:v>632</c:v>
                </c:pt>
                <c:pt idx="4">
                  <c:v>6587.7</c:v>
                </c:pt>
                <c:pt idx="5">
                  <c:v>731</c:v>
                </c:pt>
                <c:pt idx="6">
                  <c:v>4562.3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AB-4436-A666-BE9D6F82E9BC}"/>
            </c:ext>
          </c:extLst>
        </c:ser>
        <c:ser>
          <c:idx val="2"/>
          <c:order val="2"/>
          <c:tx>
            <c:strRef>
              <c:f>Выручка!$E$2</c:f>
              <c:strCache>
                <c:ptCount val="1"/>
                <c:pt idx="0">
                  <c:v>1996, долл.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Выручка!$B$3:$B$9</c:f>
              <c:strCache>
                <c:ptCount val="7"/>
                <c:pt idx="0">
                  <c:v>Дом книги</c:v>
                </c:pt>
                <c:pt idx="1">
                  <c:v>Книжный мир</c:v>
                </c:pt>
                <c:pt idx="2">
                  <c:v>Знание</c:v>
                </c:pt>
                <c:pt idx="3">
                  <c:v>Наука</c:v>
                </c:pt>
                <c:pt idx="4">
                  <c:v>Мысль</c:v>
                </c:pt>
                <c:pt idx="5">
                  <c:v>Книжный двор</c:v>
                </c:pt>
                <c:pt idx="6">
                  <c:v>Книголюб</c:v>
                </c:pt>
              </c:strCache>
            </c:strRef>
          </c:cat>
          <c:val>
            <c:numRef>
              <c:f>Выручка!$E$3:$E$9</c:f>
              <c:numCache>
                <c:formatCode>0.00</c:formatCode>
                <c:ptCount val="7"/>
                <c:pt idx="0">
                  <c:v>3323</c:v>
                </c:pt>
                <c:pt idx="1">
                  <c:v>4553</c:v>
                </c:pt>
                <c:pt idx="2">
                  <c:v>589</c:v>
                </c:pt>
                <c:pt idx="3">
                  <c:v>863</c:v>
                </c:pt>
                <c:pt idx="4">
                  <c:v>5896.2</c:v>
                </c:pt>
                <c:pt idx="5">
                  <c:v>926.1</c:v>
                </c:pt>
                <c:pt idx="6">
                  <c:v>5698.2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AB-4436-A666-BE9D6F82E9BC}"/>
            </c:ext>
          </c:extLst>
        </c:ser>
        <c:ser>
          <c:idx val="3"/>
          <c:order val="3"/>
          <c:tx>
            <c:strRef>
              <c:f>Выручка!$F$2</c:f>
              <c:strCache>
                <c:ptCount val="1"/>
                <c:pt idx="0">
                  <c:v>1997, долл.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Выручка!$B$3:$B$9</c:f>
              <c:strCache>
                <c:ptCount val="7"/>
                <c:pt idx="0">
                  <c:v>Дом книги</c:v>
                </c:pt>
                <c:pt idx="1">
                  <c:v>Книжный мир</c:v>
                </c:pt>
                <c:pt idx="2">
                  <c:v>Знание</c:v>
                </c:pt>
                <c:pt idx="3">
                  <c:v>Наука</c:v>
                </c:pt>
                <c:pt idx="4">
                  <c:v>Мысль</c:v>
                </c:pt>
                <c:pt idx="5">
                  <c:v>Книжный двор</c:v>
                </c:pt>
                <c:pt idx="6">
                  <c:v>Книголюб</c:v>
                </c:pt>
              </c:strCache>
            </c:strRef>
          </c:cat>
          <c:val>
            <c:numRef>
              <c:f>Выручка!$F$3:$F$9</c:f>
              <c:numCache>
                <c:formatCode>0.00</c:formatCode>
                <c:ptCount val="7"/>
                <c:pt idx="0">
                  <c:v>4564.5</c:v>
                </c:pt>
                <c:pt idx="1">
                  <c:v>3656.2</c:v>
                </c:pt>
                <c:pt idx="2">
                  <c:v>756</c:v>
                </c:pt>
                <c:pt idx="3">
                  <c:v>863.1</c:v>
                </c:pt>
                <c:pt idx="4">
                  <c:v>5987</c:v>
                </c:pt>
                <c:pt idx="5">
                  <c:v>952.1</c:v>
                </c:pt>
                <c:pt idx="6">
                  <c:v>6549.2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AB-4436-A666-BE9D6F82E9BC}"/>
            </c:ext>
          </c:extLst>
        </c:ser>
        <c:ser>
          <c:idx val="4"/>
          <c:order val="4"/>
          <c:tx>
            <c:strRef>
              <c:f>Выручка!$G$2</c:f>
              <c:strCache>
                <c:ptCount val="1"/>
                <c:pt idx="0">
                  <c:v>1998, долл.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Выручка!$B$3:$B$9</c:f>
              <c:strCache>
                <c:ptCount val="7"/>
                <c:pt idx="0">
                  <c:v>Дом книги</c:v>
                </c:pt>
                <c:pt idx="1">
                  <c:v>Книжный мир</c:v>
                </c:pt>
                <c:pt idx="2">
                  <c:v>Знание</c:v>
                </c:pt>
                <c:pt idx="3">
                  <c:v>Наука</c:v>
                </c:pt>
                <c:pt idx="4">
                  <c:v>Мысль</c:v>
                </c:pt>
                <c:pt idx="5">
                  <c:v>Книжный двор</c:v>
                </c:pt>
                <c:pt idx="6">
                  <c:v>Книголюб</c:v>
                </c:pt>
              </c:strCache>
            </c:strRef>
          </c:cat>
          <c:val>
            <c:numRef>
              <c:f>Выручка!$G$3:$G$9</c:f>
              <c:numCache>
                <c:formatCode>0.00</c:formatCode>
                <c:ptCount val="7"/>
                <c:pt idx="0">
                  <c:v>3983.2</c:v>
                </c:pt>
                <c:pt idx="1">
                  <c:v>4564.3</c:v>
                </c:pt>
                <c:pt idx="2">
                  <c:v>654.1</c:v>
                </c:pt>
                <c:pt idx="3">
                  <c:v>1023.2</c:v>
                </c:pt>
                <c:pt idx="4">
                  <c:v>5987</c:v>
                </c:pt>
                <c:pt idx="5">
                  <c:v>756.2</c:v>
                </c:pt>
                <c:pt idx="6">
                  <c:v>6987.5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AB-4436-A666-BE9D6F82E9BC}"/>
            </c:ext>
          </c:extLst>
        </c:ser>
        <c:ser>
          <c:idx val="5"/>
          <c:order val="5"/>
          <c:tx>
            <c:strRef>
              <c:f>Выручка!$H$2</c:f>
              <c:strCache>
                <c:ptCount val="1"/>
                <c:pt idx="0">
                  <c:v>1999, долл.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Выручка!$B$3:$B$9</c:f>
              <c:strCache>
                <c:ptCount val="7"/>
                <c:pt idx="0">
                  <c:v>Дом книги</c:v>
                </c:pt>
                <c:pt idx="1">
                  <c:v>Книжный мир</c:v>
                </c:pt>
                <c:pt idx="2">
                  <c:v>Знание</c:v>
                </c:pt>
                <c:pt idx="3">
                  <c:v>Наука</c:v>
                </c:pt>
                <c:pt idx="4">
                  <c:v>Мысль</c:v>
                </c:pt>
                <c:pt idx="5">
                  <c:v>Книжный двор</c:v>
                </c:pt>
                <c:pt idx="6">
                  <c:v>Книголюб</c:v>
                </c:pt>
              </c:strCache>
            </c:strRef>
          </c:cat>
          <c:val>
            <c:numRef>
              <c:f>Выручка!$H$3:$H$9</c:f>
              <c:numCache>
                <c:formatCode>0.00</c:formatCode>
                <c:ptCount val="7"/>
                <c:pt idx="0">
                  <c:v>3654.3</c:v>
                </c:pt>
                <c:pt idx="1">
                  <c:v>4564.3999999999996</c:v>
                </c:pt>
                <c:pt idx="2">
                  <c:v>644.1</c:v>
                </c:pt>
                <c:pt idx="3">
                  <c:v>752.1</c:v>
                </c:pt>
                <c:pt idx="4">
                  <c:v>5987</c:v>
                </c:pt>
                <c:pt idx="5">
                  <c:v>755</c:v>
                </c:pt>
                <c:pt idx="6">
                  <c:v>7256.2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AB-4436-A666-BE9D6F82E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37760"/>
        <c:axId val="651932480"/>
      </c:lineChart>
      <c:catAx>
        <c:axId val="65193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1932480"/>
        <c:crosses val="autoZero"/>
        <c:auto val="1"/>
        <c:lblAlgn val="ctr"/>
        <c:lblOffset val="100"/>
        <c:noMultiLvlLbl val="0"/>
      </c:catAx>
      <c:valAx>
        <c:axId val="65193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193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318209636940903"/>
          <c:y val="0.1672448235637212"/>
          <c:w val="0.2448095161813694"/>
          <c:h val="0.573495917177019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222222222222221E-2"/>
          <c:y val="0.14393518518518519"/>
          <c:w val="0.93888888888888888"/>
          <c:h val="0.60027668416447943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2A95-44B4-8425-77ADD07753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A95-44B4-8425-77ADD07753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A95-44B4-8425-77ADD07753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2A95-44B4-8425-77ADD07753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A95-44B4-8425-77ADD07753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A95-44B4-8425-77ADD07753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A95-44B4-8425-77ADD077539B}"/>
              </c:ext>
            </c:extLst>
          </c:dPt>
          <c:cat>
            <c:strRef>
              <c:f>Прибыль!$A$3:$A$9</c:f>
              <c:strCache>
                <c:ptCount val="7"/>
                <c:pt idx="0">
                  <c:v>Дом книги</c:v>
                </c:pt>
                <c:pt idx="1">
                  <c:v>Книжный мир</c:v>
                </c:pt>
                <c:pt idx="2">
                  <c:v>Знание</c:v>
                </c:pt>
                <c:pt idx="3">
                  <c:v>Наука</c:v>
                </c:pt>
                <c:pt idx="4">
                  <c:v>Мысль</c:v>
                </c:pt>
                <c:pt idx="5">
                  <c:v>Книжный двор</c:v>
                </c:pt>
                <c:pt idx="6">
                  <c:v>Книголюб</c:v>
                </c:pt>
              </c:strCache>
            </c:strRef>
          </c:cat>
          <c:val>
            <c:numRef>
              <c:f>Прибыль!$I$3:$I$9</c:f>
              <c:numCache>
                <c:formatCode>0.00%</c:formatCode>
                <c:ptCount val="7"/>
                <c:pt idx="0">
                  <c:v>0.19409999999999999</c:v>
                </c:pt>
                <c:pt idx="1">
                  <c:v>0.29520000000000002</c:v>
                </c:pt>
                <c:pt idx="2">
                  <c:v>2.6200000000000001E-2</c:v>
                </c:pt>
                <c:pt idx="3">
                  <c:v>1.9800000000000002E-2</c:v>
                </c:pt>
                <c:pt idx="4">
                  <c:v>0.22</c:v>
                </c:pt>
                <c:pt idx="5">
                  <c:v>1.2800000000000001E-2</c:v>
                </c:pt>
                <c:pt idx="6">
                  <c:v>0.23180000000000001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5-44B4-8425-77ADD0775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Прибыль!$A$1:$A$9</c15:sqref>
                  </c15:fullRef>
                </c:ext>
              </c:extLst>
              <c:f>Прибыль!$A$3:$A$9</c:f>
              <c:strCache>
                <c:ptCount val="7"/>
                <c:pt idx="0">
                  <c:v>Дом книги</c:v>
                </c:pt>
                <c:pt idx="1">
                  <c:v>Книжный мир</c:v>
                </c:pt>
                <c:pt idx="2">
                  <c:v>Знание</c:v>
                </c:pt>
                <c:pt idx="3">
                  <c:v>Наука</c:v>
                </c:pt>
                <c:pt idx="4">
                  <c:v>Мысль</c:v>
                </c:pt>
                <c:pt idx="5">
                  <c:v>Книжный двор</c:v>
                </c:pt>
                <c:pt idx="6">
                  <c:v>Книголюб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Прибыль!$B$1:$B$9</c15:sqref>
                  </c15:fullRef>
                </c:ext>
              </c:extLst>
              <c:f>Прибыль!$B$3:$B$9</c:f>
              <c:numCache>
                <c:formatCode>General</c:formatCode>
                <c:ptCount val="7"/>
                <c:pt idx="0" formatCode="#,##0">
                  <c:v>1100</c:v>
                </c:pt>
                <c:pt idx="1" formatCode="#,##0">
                  <c:v>1996.5</c:v>
                </c:pt>
                <c:pt idx="2" formatCode="#,##0">
                  <c:v>220.00000000000006</c:v>
                </c:pt>
                <c:pt idx="3" formatCode="#,##0">
                  <c:v>96</c:v>
                </c:pt>
                <c:pt idx="4" formatCode="#,##0">
                  <c:v>1000</c:v>
                </c:pt>
                <c:pt idx="5" formatCode="#,##0">
                  <c:v>110</c:v>
                </c:pt>
                <c:pt idx="6" formatCode="#,##0">
                  <c:v>1336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F08-4F34-A436-481B82EB06D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Прибыль!$A$1:$A$9</c15:sqref>
                  </c15:fullRef>
                </c:ext>
              </c:extLst>
              <c:f>Прибыль!$A$3:$A$9</c:f>
              <c:strCache>
                <c:ptCount val="7"/>
                <c:pt idx="0">
                  <c:v>Дом книги</c:v>
                </c:pt>
                <c:pt idx="1">
                  <c:v>Книжный мир</c:v>
                </c:pt>
                <c:pt idx="2">
                  <c:v>Знание</c:v>
                </c:pt>
                <c:pt idx="3">
                  <c:v>Наука</c:v>
                </c:pt>
                <c:pt idx="4">
                  <c:v>Мысль</c:v>
                </c:pt>
                <c:pt idx="5">
                  <c:v>Книжный двор</c:v>
                </c:pt>
                <c:pt idx="6">
                  <c:v>Книголюб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Прибыль!$C$1:$C$9</c15:sqref>
                  </c15:fullRef>
                </c:ext>
              </c:extLst>
              <c:f>Прибыль!$C$3:$C$9</c:f>
              <c:numCache>
                <c:formatCode>General</c:formatCode>
                <c:ptCount val="7"/>
                <c:pt idx="0" formatCode="#,##0">
                  <c:v>1110</c:v>
                </c:pt>
                <c:pt idx="1" formatCode="#,##0">
                  <c:v>1969.9999999999998</c:v>
                </c:pt>
                <c:pt idx="2" formatCode="#,##0">
                  <c:v>169.00000000000006</c:v>
                </c:pt>
                <c:pt idx="3" formatCode="#,##0">
                  <c:v>112</c:v>
                </c:pt>
                <c:pt idx="4" formatCode="#,##0">
                  <c:v>963</c:v>
                </c:pt>
                <c:pt idx="5" formatCode="#,##0">
                  <c:v>100</c:v>
                </c:pt>
                <c:pt idx="6" formatCode="#,##0">
                  <c:v>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F08-4F34-A436-481B82EB06D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Прибыль!$A$1:$A$9</c15:sqref>
                  </c15:fullRef>
                </c:ext>
              </c:extLst>
              <c:f>Прибыль!$A$3:$A$9</c:f>
              <c:strCache>
                <c:ptCount val="7"/>
                <c:pt idx="0">
                  <c:v>Дом книги</c:v>
                </c:pt>
                <c:pt idx="1">
                  <c:v>Книжный мир</c:v>
                </c:pt>
                <c:pt idx="2">
                  <c:v>Знание</c:v>
                </c:pt>
                <c:pt idx="3">
                  <c:v>Наука</c:v>
                </c:pt>
                <c:pt idx="4">
                  <c:v>Мысль</c:v>
                </c:pt>
                <c:pt idx="5">
                  <c:v>Книжный двор</c:v>
                </c:pt>
                <c:pt idx="6">
                  <c:v>Книголюб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Прибыль!$D$1:$D$9</c15:sqref>
                  </c15:fullRef>
                </c:ext>
              </c:extLst>
              <c:f>Прибыль!$D$3:$D$9</c:f>
              <c:numCache>
                <c:formatCode>General</c:formatCode>
                <c:ptCount val="7"/>
                <c:pt idx="0" formatCode="#,##0">
                  <c:v>1000</c:v>
                </c:pt>
                <c:pt idx="1" formatCode="#,##0">
                  <c:v>2400</c:v>
                </c:pt>
                <c:pt idx="2" formatCode="#,##0">
                  <c:v>26</c:v>
                </c:pt>
                <c:pt idx="3" formatCode="#,##0">
                  <c:v>227</c:v>
                </c:pt>
                <c:pt idx="4" formatCode="#,##0">
                  <c:v>1333</c:v>
                </c:pt>
                <c:pt idx="5" formatCode="#,##0">
                  <c:v>190</c:v>
                </c:pt>
                <c:pt idx="6" formatCode="#,##0">
                  <c:v>1030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F08-4F34-A436-481B82EB06D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Прибыль!$A$1:$A$9</c15:sqref>
                  </c15:fullRef>
                </c:ext>
              </c:extLst>
              <c:f>Прибыль!$A$3:$A$9</c:f>
              <c:strCache>
                <c:ptCount val="7"/>
                <c:pt idx="0">
                  <c:v>Дом книги</c:v>
                </c:pt>
                <c:pt idx="1">
                  <c:v>Книжный мир</c:v>
                </c:pt>
                <c:pt idx="2">
                  <c:v>Знание</c:v>
                </c:pt>
                <c:pt idx="3">
                  <c:v>Наука</c:v>
                </c:pt>
                <c:pt idx="4">
                  <c:v>Мысль</c:v>
                </c:pt>
                <c:pt idx="5">
                  <c:v>Книжный двор</c:v>
                </c:pt>
                <c:pt idx="6">
                  <c:v>Книголюб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Прибыль!$E$1:$E$9</c15:sqref>
                  </c15:fullRef>
                </c:ext>
              </c:extLst>
              <c:f>Прибыль!$E$3:$E$9</c:f>
              <c:numCache>
                <c:formatCode>General</c:formatCode>
                <c:ptCount val="7"/>
                <c:pt idx="0" formatCode="#,##0">
                  <c:v>1980</c:v>
                </c:pt>
                <c:pt idx="1" formatCode="#,##0">
                  <c:v>1400</c:v>
                </c:pt>
                <c:pt idx="2" formatCode="#,##0">
                  <c:v>193</c:v>
                </c:pt>
                <c:pt idx="3" formatCode="#,##0">
                  <c:v>100</c:v>
                </c:pt>
                <c:pt idx="4" formatCode="#,##0">
                  <c:v>1564</c:v>
                </c:pt>
                <c:pt idx="5" formatCode="#,##0">
                  <c:v>129</c:v>
                </c:pt>
                <c:pt idx="6" formatCode="#,##0">
                  <c:v>1760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08-4F34-A436-481B82EB06D1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Прибыль!$A$1:$A$9</c15:sqref>
                  </c15:fullRef>
                </c:ext>
              </c:extLst>
              <c:f>Прибыль!$A$3:$A$9</c:f>
              <c:strCache>
                <c:ptCount val="7"/>
                <c:pt idx="0">
                  <c:v>Дом книги</c:v>
                </c:pt>
                <c:pt idx="1">
                  <c:v>Книжный мир</c:v>
                </c:pt>
                <c:pt idx="2">
                  <c:v>Знание</c:v>
                </c:pt>
                <c:pt idx="3">
                  <c:v>Наука</c:v>
                </c:pt>
                <c:pt idx="4">
                  <c:v>Мысль</c:v>
                </c:pt>
                <c:pt idx="5">
                  <c:v>Книжный двор</c:v>
                </c:pt>
                <c:pt idx="6">
                  <c:v>Книголюб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Прибыль!$F$1:$F$9</c15:sqref>
                  </c15:fullRef>
                </c:ext>
              </c:extLst>
              <c:f>Прибыль!$F$3:$F$9</c:f>
              <c:numCache>
                <c:formatCode>General</c:formatCode>
                <c:ptCount val="7"/>
                <c:pt idx="0" formatCode="#,##0">
                  <c:v>1420</c:v>
                </c:pt>
                <c:pt idx="1" formatCode="#,##0">
                  <c:v>2100</c:v>
                </c:pt>
                <c:pt idx="2" formatCode="#,##0">
                  <c:v>198</c:v>
                </c:pt>
                <c:pt idx="3" formatCode="#,##0">
                  <c:v>108</c:v>
                </c:pt>
                <c:pt idx="4" formatCode="#,##0">
                  <c:v>1773.8999999999996</c:v>
                </c:pt>
                <c:pt idx="5" formatCode="#,##0">
                  <c:v>141.10000000000002</c:v>
                </c:pt>
                <c:pt idx="6" formatCode="#,##0">
                  <c:v>2000.1999999999998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F08-4F34-A436-481B82EB06D1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Прибыль!$A$1:$A$9</c15:sqref>
                  </c15:fullRef>
                </c:ext>
              </c:extLst>
              <c:f>Прибыль!$A$3:$A$9</c:f>
              <c:strCache>
                <c:ptCount val="7"/>
                <c:pt idx="0">
                  <c:v>Дом книги</c:v>
                </c:pt>
                <c:pt idx="1">
                  <c:v>Книжный мир</c:v>
                </c:pt>
                <c:pt idx="2">
                  <c:v>Знание</c:v>
                </c:pt>
                <c:pt idx="3">
                  <c:v>Наука</c:v>
                </c:pt>
                <c:pt idx="4">
                  <c:v>Мысль</c:v>
                </c:pt>
                <c:pt idx="5">
                  <c:v>Книжный двор</c:v>
                </c:pt>
                <c:pt idx="6">
                  <c:v>Книголюб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Прибыль!$G$1:$G$9</c15:sqref>
                  </c15:fullRef>
                </c:ext>
              </c:extLst>
              <c:f>Прибыль!$G$3:$G$9</c:f>
              <c:numCache>
                <c:formatCode>General</c:formatCode>
                <c:ptCount val="7"/>
                <c:pt idx="0" formatCode="#,##0">
                  <c:v>1068.2000000000003</c:v>
                </c:pt>
                <c:pt idx="1" formatCode="#,##0">
                  <c:v>1808.1999999999998</c:v>
                </c:pt>
                <c:pt idx="2" formatCode="#,##0">
                  <c:v>232</c:v>
                </c:pt>
                <c:pt idx="3" formatCode="#,##0">
                  <c:v>140</c:v>
                </c:pt>
                <c:pt idx="4" formatCode="#,##0">
                  <c:v>2068.9</c:v>
                </c:pt>
                <c:pt idx="5" formatCode="#,##0">
                  <c:v>-163.39999999999998</c:v>
                </c:pt>
                <c:pt idx="6" formatCode="#,##0">
                  <c:v>2133.1999999999998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F08-4F34-A436-481B82EB0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943139759"/>
        <c:axId val="943140719"/>
        <c:axId val="0"/>
      </c:bar3DChart>
      <c:catAx>
        <c:axId val="94313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3140719"/>
        <c:crosses val="autoZero"/>
        <c:auto val="1"/>
        <c:lblAlgn val="ctr"/>
        <c:lblOffset val="100"/>
        <c:noMultiLvlLbl val="0"/>
      </c:catAx>
      <c:valAx>
        <c:axId val="94314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313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66675</xdr:rowOff>
    </xdr:from>
    <xdr:to>
      <xdr:col>8</xdr:col>
      <xdr:colOff>371475</xdr:colOff>
      <xdr:row>14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756DC62-6C83-4D27-ACA9-A96A551B4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204787</xdr:colOff>
      <xdr:row>1</xdr:row>
      <xdr:rowOff>66675</xdr:rowOff>
    </xdr:from>
    <xdr:to>
      <xdr:col>15</xdr:col>
      <xdr:colOff>661987</xdr:colOff>
      <xdr:row>13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86E30B4-F3B2-380D-66F6-BD8F43269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142875</xdr:colOff>
      <xdr:row>16</xdr:row>
      <xdr:rowOff>133350</xdr:rowOff>
    </xdr:from>
    <xdr:to>
      <xdr:col>15</xdr:col>
      <xdr:colOff>600075</xdr:colOff>
      <xdr:row>30</xdr:row>
      <xdr:rowOff>76200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2640A3D-AB7F-6E86-555E-9A65C8326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workbookViewId="0">
      <selection activeCell="I27" sqref="I27"/>
    </sheetView>
  </sheetViews>
  <sheetFormatPr defaultRowHeight="15.75" x14ac:dyDescent="0.25"/>
  <cols>
    <col min="1" max="1" width="6.875" customWidth="1"/>
    <col min="2" max="2" width="16.375" customWidth="1"/>
    <col min="3" max="3" width="12.125" customWidth="1"/>
    <col min="4" max="4" width="12.75" customWidth="1"/>
    <col min="5" max="5" width="12" customWidth="1"/>
    <col min="6" max="6" width="12.875" customWidth="1"/>
    <col min="7" max="7" width="11" customWidth="1"/>
    <col min="8" max="8" width="12.75" customWidth="1"/>
    <col min="9" max="9" width="19.375" customWidth="1"/>
    <col min="10" max="10" width="21.125" customWidth="1"/>
    <col min="12" max="12" width="27.875" customWidth="1"/>
    <col min="13" max="13" width="18.75" customWidth="1"/>
    <col min="14" max="14" width="22.875" hidden="1" customWidth="1"/>
  </cols>
  <sheetData>
    <row r="1" spans="1:12" ht="15" customHeight="1" thickTop="1" x14ac:dyDescent="0.25">
      <c r="A1" s="33" t="s">
        <v>0</v>
      </c>
      <c r="B1" s="35" t="s">
        <v>1</v>
      </c>
      <c r="C1" s="39" t="s">
        <v>44</v>
      </c>
      <c r="D1" s="39"/>
      <c r="E1" s="39"/>
      <c r="F1" s="39"/>
      <c r="G1" s="39"/>
      <c r="H1" s="40"/>
      <c r="I1" s="33" t="s">
        <v>8</v>
      </c>
      <c r="J1" s="35" t="s">
        <v>9</v>
      </c>
      <c r="K1" s="35" t="s">
        <v>10</v>
      </c>
      <c r="L1" s="37" t="s">
        <v>11</v>
      </c>
    </row>
    <row r="2" spans="1:12" ht="57" customHeight="1" x14ac:dyDescent="0.25">
      <c r="A2" s="34"/>
      <c r="B2" s="3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5" t="s">
        <v>7</v>
      </c>
      <c r="I2" s="34"/>
      <c r="J2" s="36"/>
      <c r="K2" s="36"/>
      <c r="L2" s="38"/>
    </row>
    <row r="3" spans="1:12" x14ac:dyDescent="0.25">
      <c r="A3" s="6" t="s">
        <v>12</v>
      </c>
      <c r="B3" s="3" t="s">
        <v>13</v>
      </c>
      <c r="C3" s="4">
        <v>2456.1</v>
      </c>
      <c r="D3" s="4">
        <v>2562</v>
      </c>
      <c r="E3" s="4">
        <v>3323</v>
      </c>
      <c r="F3" s="4">
        <v>4564.5</v>
      </c>
      <c r="G3" s="4">
        <v>3983.2</v>
      </c>
      <c r="H3" s="7">
        <v>3654.3</v>
      </c>
      <c r="I3" s="12">
        <v>20543.099999999999</v>
      </c>
      <c r="J3" s="2" t="s">
        <v>14</v>
      </c>
      <c r="K3" s="2">
        <f>RANK(I3, $I$3:$I$9, 1)</f>
        <v>4</v>
      </c>
      <c r="L3" s="13" t="s">
        <v>16</v>
      </c>
    </row>
    <row r="4" spans="1:12" x14ac:dyDescent="0.25">
      <c r="A4" s="6" t="s">
        <v>17</v>
      </c>
      <c r="B4" s="3" t="s">
        <v>18</v>
      </c>
      <c r="C4" s="4">
        <v>3520</v>
      </c>
      <c r="D4" s="4">
        <v>3645.2</v>
      </c>
      <c r="E4" s="4">
        <v>4553</v>
      </c>
      <c r="F4" s="4">
        <v>3656.2</v>
      </c>
      <c r="G4" s="4">
        <v>4564.3</v>
      </c>
      <c r="H4" s="7">
        <v>4564.3999999999996</v>
      </c>
      <c r="I4" s="12">
        <v>24503.1</v>
      </c>
      <c r="J4" s="2" t="s">
        <v>19</v>
      </c>
      <c r="K4" s="2">
        <f t="shared" ref="K4:K9" si="0">RANK(I4, $I$3:$I$9, 1)</f>
        <v>5</v>
      </c>
      <c r="L4" s="13" t="s">
        <v>21</v>
      </c>
    </row>
    <row r="5" spans="1:12" x14ac:dyDescent="0.25">
      <c r="A5" s="6" t="s">
        <v>22</v>
      </c>
      <c r="B5" s="3" t="s">
        <v>23</v>
      </c>
      <c r="C5" s="4">
        <v>676.2</v>
      </c>
      <c r="D5" s="4">
        <v>525.20000000000005</v>
      </c>
      <c r="E5" s="4">
        <v>589</v>
      </c>
      <c r="F5" s="4">
        <v>756</v>
      </c>
      <c r="G5" s="4">
        <v>654.1</v>
      </c>
      <c r="H5" s="7">
        <v>644.1</v>
      </c>
      <c r="I5" s="12">
        <v>3844.6</v>
      </c>
      <c r="J5" s="2" t="s">
        <v>24</v>
      </c>
      <c r="K5" s="2">
        <f t="shared" si="0"/>
        <v>1</v>
      </c>
      <c r="L5" s="13" t="s">
        <v>16</v>
      </c>
    </row>
    <row r="6" spans="1:12" x14ac:dyDescent="0.25">
      <c r="A6" s="6" t="s">
        <v>15</v>
      </c>
      <c r="B6" s="3" t="s">
        <v>25</v>
      </c>
      <c r="C6" s="4">
        <v>353.3</v>
      </c>
      <c r="D6" s="4">
        <v>632</v>
      </c>
      <c r="E6" s="4">
        <v>863</v>
      </c>
      <c r="F6" s="4">
        <v>863.1</v>
      </c>
      <c r="G6" s="4">
        <v>1023.2</v>
      </c>
      <c r="H6" s="7">
        <v>752.1</v>
      </c>
      <c r="I6" s="12">
        <v>4486.7</v>
      </c>
      <c r="J6" s="2" t="s">
        <v>26</v>
      </c>
      <c r="K6" s="2">
        <f t="shared" si="0"/>
        <v>2</v>
      </c>
      <c r="L6" s="13" t="s">
        <v>27</v>
      </c>
    </row>
    <row r="7" spans="1:12" x14ac:dyDescent="0.25">
      <c r="A7" s="6" t="s">
        <v>20</v>
      </c>
      <c r="B7" s="3" t="s">
        <v>28</v>
      </c>
      <c r="C7" s="4">
        <v>7547.5</v>
      </c>
      <c r="D7" s="4">
        <v>6587.7</v>
      </c>
      <c r="E7" s="4">
        <v>5896.2</v>
      </c>
      <c r="F7" s="4">
        <v>5987</v>
      </c>
      <c r="G7" s="4">
        <v>5987</v>
      </c>
      <c r="H7" s="7">
        <v>5987</v>
      </c>
      <c r="I7" s="12">
        <v>37992.400000000001</v>
      </c>
      <c r="J7" s="2" t="s">
        <v>29</v>
      </c>
      <c r="K7" s="2">
        <f t="shared" si="0"/>
        <v>7</v>
      </c>
      <c r="L7" s="13" t="s">
        <v>31</v>
      </c>
    </row>
    <row r="8" spans="1:12" x14ac:dyDescent="0.25">
      <c r="A8" s="6" t="s">
        <v>32</v>
      </c>
      <c r="B8" s="3" t="s">
        <v>33</v>
      </c>
      <c r="C8" s="4">
        <v>655.4</v>
      </c>
      <c r="D8" s="4">
        <v>731</v>
      </c>
      <c r="E8" s="4">
        <v>926.1</v>
      </c>
      <c r="F8" s="4">
        <v>952.1</v>
      </c>
      <c r="G8" s="4">
        <v>756.2</v>
      </c>
      <c r="H8" s="7">
        <v>755</v>
      </c>
      <c r="I8" s="12">
        <v>4775.8</v>
      </c>
      <c r="J8" s="2" t="s">
        <v>34</v>
      </c>
      <c r="K8" s="2">
        <f t="shared" si="0"/>
        <v>3</v>
      </c>
      <c r="L8" s="13" t="s">
        <v>16</v>
      </c>
    </row>
    <row r="9" spans="1:12" ht="16.5" thickBot="1" x14ac:dyDescent="0.3">
      <c r="A9" s="8" t="s">
        <v>30</v>
      </c>
      <c r="B9" s="9" t="s">
        <v>35</v>
      </c>
      <c r="C9" s="10">
        <v>4000.6</v>
      </c>
      <c r="D9" s="10">
        <v>4562.3</v>
      </c>
      <c r="E9" s="10">
        <v>5698.2</v>
      </c>
      <c r="F9" s="10">
        <v>6549.2</v>
      </c>
      <c r="G9" s="10">
        <v>6987.5</v>
      </c>
      <c r="H9" s="11">
        <v>7256.2</v>
      </c>
      <c r="I9" s="14">
        <v>35054</v>
      </c>
      <c r="J9" s="15" t="s">
        <v>36</v>
      </c>
      <c r="K9" s="2">
        <f t="shared" si="0"/>
        <v>6</v>
      </c>
      <c r="L9" s="16" t="s">
        <v>21</v>
      </c>
    </row>
    <row r="10" spans="1:12" ht="17.25" thickTop="1" thickBot="1" x14ac:dyDescent="0.3">
      <c r="A10" s="17"/>
      <c r="B10" s="32" t="s">
        <v>37</v>
      </c>
      <c r="C10" s="32"/>
      <c r="D10" s="32"/>
      <c r="E10" s="32"/>
      <c r="F10" s="32"/>
      <c r="G10" s="32"/>
      <c r="H10" s="32"/>
      <c r="I10" s="18" t="s">
        <v>39</v>
      </c>
      <c r="J10" s="18" t="s">
        <v>40</v>
      </c>
      <c r="K10" s="18" t="s">
        <v>38</v>
      </c>
      <c r="L10" s="19" t="s">
        <v>38</v>
      </c>
    </row>
    <row r="11" spans="1:12" ht="16.5" thickTop="1" x14ac:dyDescent="0.25"/>
  </sheetData>
  <mergeCells count="8">
    <mergeCell ref="A1:A2"/>
    <mergeCell ref="C1:H1"/>
    <mergeCell ref="B10:H10"/>
    <mergeCell ref="I1:I2"/>
    <mergeCell ref="J1:J2"/>
    <mergeCell ref="K1:K2"/>
    <mergeCell ref="L1:L2"/>
    <mergeCell ref="B1:B2"/>
  </mergeCells>
  <pageMargins left="0.7" right="0.7" top="0.75" bottom="0.75" header="0.3" footer="0.3"/>
  <ignoredErrors>
    <ignoredError sqref="A10:B10 A3:B3 J3 A4:B9 J4:J9 I10:L10 C2:H2 L3 L4:L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6EED-0129-48CA-9892-5BA78A945BE5}">
  <dimension ref="A1"/>
  <sheetViews>
    <sheetView workbookViewId="0">
      <selection activeCell="L11" sqref="L11"/>
    </sheetView>
  </sheetViews>
  <sheetFormatPr defaultRowHeight="15.7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11E9-DEA7-4D81-AE79-D7DC2D0C8EFF}">
  <dimension ref="A1:N11"/>
  <sheetViews>
    <sheetView workbookViewId="0">
      <selection activeCell="J19" sqref="J19"/>
    </sheetView>
  </sheetViews>
  <sheetFormatPr defaultRowHeight="15.75" x14ac:dyDescent="0.25"/>
  <cols>
    <col min="1" max="1" width="6.5" customWidth="1"/>
    <col min="2" max="2" width="14.125" customWidth="1"/>
    <col min="9" max="9" width="19.125" customWidth="1"/>
    <col min="10" max="10" width="27.625" customWidth="1"/>
    <col min="11" max="11" width="27.75" customWidth="1"/>
  </cols>
  <sheetData>
    <row r="1" spans="1:14" ht="16.5" thickTop="1" x14ac:dyDescent="0.25">
      <c r="A1" s="51" t="s">
        <v>0</v>
      </c>
      <c r="B1" s="53" t="s">
        <v>1</v>
      </c>
      <c r="C1" s="55" t="s">
        <v>44</v>
      </c>
      <c r="D1" s="55"/>
      <c r="E1" s="55"/>
      <c r="F1" s="55"/>
      <c r="G1" s="55"/>
      <c r="H1" s="55"/>
      <c r="I1" s="53" t="s">
        <v>8</v>
      </c>
      <c r="J1" s="53" t="s">
        <v>41</v>
      </c>
      <c r="K1" s="53" t="s">
        <v>42</v>
      </c>
      <c r="L1" s="41" t="s">
        <v>43</v>
      </c>
      <c r="M1" s="42"/>
      <c r="N1" s="43"/>
    </row>
    <row r="2" spans="1:14" ht="61.5" customHeight="1" x14ac:dyDescent="0.25">
      <c r="A2" s="52"/>
      <c r="B2" s="54"/>
      <c r="C2" s="21">
        <v>1994</v>
      </c>
      <c r="D2" s="21">
        <v>1995</v>
      </c>
      <c r="E2" s="21">
        <v>1996</v>
      </c>
      <c r="F2" s="21">
        <v>1997</v>
      </c>
      <c r="G2" s="21">
        <v>1998</v>
      </c>
      <c r="H2" s="21">
        <v>1999</v>
      </c>
      <c r="I2" s="54"/>
      <c r="J2" s="54"/>
      <c r="K2" s="54"/>
      <c r="L2" s="44"/>
      <c r="M2" s="45"/>
      <c r="N2" s="46"/>
    </row>
    <row r="3" spans="1:14" x14ac:dyDescent="0.25">
      <c r="A3" s="6">
        <v>1</v>
      </c>
      <c r="B3" s="2" t="s">
        <v>13</v>
      </c>
      <c r="C3" s="20">
        <v>1356.1</v>
      </c>
      <c r="D3" s="20">
        <v>1452</v>
      </c>
      <c r="E3" s="20">
        <v>2323</v>
      </c>
      <c r="F3" s="20">
        <v>2584.5</v>
      </c>
      <c r="G3" s="20">
        <v>2563.1999999999998</v>
      </c>
      <c r="H3" s="20">
        <v>2586.1</v>
      </c>
      <c r="I3" s="20">
        <f>SUM(C3:H3)</f>
        <v>12864.9</v>
      </c>
      <c r="J3" s="20">
        <f>AVERAGE(C3:H3)</f>
        <v>2144.15</v>
      </c>
      <c r="K3" s="20">
        <f>MAX(C3:H3)</f>
        <v>2586.1</v>
      </c>
      <c r="L3" s="47">
        <f>MIN(C3:H3)</f>
        <v>1356.1</v>
      </c>
      <c r="M3" s="47"/>
      <c r="N3" s="48"/>
    </row>
    <row r="4" spans="1:14" x14ac:dyDescent="0.25">
      <c r="A4" s="6">
        <v>2</v>
      </c>
      <c r="B4" s="2" t="s">
        <v>18</v>
      </c>
      <c r="C4" s="20">
        <v>1523.5</v>
      </c>
      <c r="D4" s="20">
        <v>1675.2</v>
      </c>
      <c r="E4" s="20">
        <v>2153</v>
      </c>
      <c r="F4" s="20">
        <v>2256.1999999999998</v>
      </c>
      <c r="G4" s="20">
        <v>2464.3000000000002</v>
      </c>
      <c r="H4" s="20">
        <v>2756.2</v>
      </c>
      <c r="I4" s="20">
        <f t="shared" ref="I4:I9" si="0">SUM(C4:H4)</f>
        <v>12828.400000000001</v>
      </c>
      <c r="J4" s="20">
        <f t="shared" ref="J4:J9" si="1">AVERAGE(C4:H4)</f>
        <v>2138.0666666666671</v>
      </c>
      <c r="K4" s="20">
        <f t="shared" ref="K4:K9" si="2">MAX(C4:H4)</f>
        <v>2756.2</v>
      </c>
      <c r="L4" s="47">
        <f t="shared" ref="L4:L9" si="3">MIN(C4:H4)</f>
        <v>1523.5</v>
      </c>
      <c r="M4" s="47"/>
      <c r="N4" s="48"/>
    </row>
    <row r="5" spans="1:14" x14ac:dyDescent="0.25">
      <c r="A5" s="6">
        <v>3</v>
      </c>
      <c r="B5" s="2" t="s">
        <v>23</v>
      </c>
      <c r="C5" s="2">
        <v>456.2</v>
      </c>
      <c r="D5" s="2">
        <v>356.2</v>
      </c>
      <c r="E5" s="2">
        <v>563</v>
      </c>
      <c r="F5" s="2">
        <v>563</v>
      </c>
      <c r="G5" s="2">
        <v>456.1</v>
      </c>
      <c r="H5" s="2">
        <v>412.1</v>
      </c>
      <c r="I5" s="20">
        <f t="shared" si="0"/>
        <v>2806.6</v>
      </c>
      <c r="J5" s="20">
        <f t="shared" si="1"/>
        <v>467.76666666666665</v>
      </c>
      <c r="K5" s="20">
        <f t="shared" si="2"/>
        <v>563</v>
      </c>
      <c r="L5" s="47">
        <f t="shared" si="3"/>
        <v>356.2</v>
      </c>
      <c r="M5" s="47"/>
      <c r="N5" s="48"/>
    </row>
    <row r="6" spans="1:14" x14ac:dyDescent="0.25">
      <c r="A6" s="6">
        <v>4</v>
      </c>
      <c r="B6" s="2" t="s">
        <v>25</v>
      </c>
      <c r="C6" s="2">
        <v>257.3</v>
      </c>
      <c r="D6" s="2">
        <v>520</v>
      </c>
      <c r="E6" s="2">
        <v>636</v>
      </c>
      <c r="F6" s="2">
        <v>763.1</v>
      </c>
      <c r="G6" s="2">
        <v>915.2</v>
      </c>
      <c r="H6" s="2">
        <v>612.1</v>
      </c>
      <c r="I6" s="20">
        <f t="shared" si="0"/>
        <v>3703.7000000000003</v>
      </c>
      <c r="J6" s="20">
        <f t="shared" si="1"/>
        <v>617.28333333333342</v>
      </c>
      <c r="K6" s="20">
        <f t="shared" si="2"/>
        <v>915.2</v>
      </c>
      <c r="L6" s="47">
        <f t="shared" si="3"/>
        <v>257.3</v>
      </c>
      <c r="M6" s="47"/>
      <c r="N6" s="48"/>
    </row>
    <row r="7" spans="1:14" x14ac:dyDescent="0.25">
      <c r="A7" s="6">
        <v>5</v>
      </c>
      <c r="B7" s="2" t="s">
        <v>28</v>
      </c>
      <c r="C7" s="20">
        <v>6547.5</v>
      </c>
      <c r="D7" s="20">
        <v>5624.7</v>
      </c>
      <c r="E7" s="20">
        <v>4563.2</v>
      </c>
      <c r="F7" s="20">
        <v>4423</v>
      </c>
      <c r="G7" s="20">
        <v>4213.1000000000004</v>
      </c>
      <c r="H7" s="20">
        <v>3918.1</v>
      </c>
      <c r="I7" s="20">
        <f t="shared" si="0"/>
        <v>29289.599999999999</v>
      </c>
      <c r="J7" s="20">
        <f t="shared" si="1"/>
        <v>4881.5999999999995</v>
      </c>
      <c r="K7" s="20">
        <f t="shared" si="2"/>
        <v>6547.5</v>
      </c>
      <c r="L7" s="47">
        <f t="shared" si="3"/>
        <v>3918.1</v>
      </c>
      <c r="M7" s="47"/>
      <c r="N7" s="48"/>
    </row>
    <row r="8" spans="1:14" x14ac:dyDescent="0.25">
      <c r="A8" s="6">
        <v>6</v>
      </c>
      <c r="B8" s="2" t="s">
        <v>33</v>
      </c>
      <c r="C8" s="2">
        <v>545.4</v>
      </c>
      <c r="D8" s="2">
        <v>631</v>
      </c>
      <c r="E8" s="2">
        <v>736.1</v>
      </c>
      <c r="F8" s="2">
        <v>823.1</v>
      </c>
      <c r="G8" s="2">
        <v>615.1</v>
      </c>
      <c r="H8" s="2">
        <v>918.4</v>
      </c>
      <c r="I8" s="20">
        <f t="shared" si="0"/>
        <v>4269.0999999999995</v>
      </c>
      <c r="J8" s="20">
        <f t="shared" si="1"/>
        <v>711.51666666666654</v>
      </c>
      <c r="K8" s="20">
        <f t="shared" si="2"/>
        <v>918.4</v>
      </c>
      <c r="L8" s="47">
        <f t="shared" si="3"/>
        <v>545.4</v>
      </c>
      <c r="M8" s="47"/>
      <c r="N8" s="48"/>
    </row>
    <row r="9" spans="1:14" x14ac:dyDescent="0.25">
      <c r="A9" s="6">
        <v>7</v>
      </c>
      <c r="B9" s="2" t="s">
        <v>35</v>
      </c>
      <c r="C9" s="20">
        <v>2664.6</v>
      </c>
      <c r="D9" s="20">
        <v>3651.3</v>
      </c>
      <c r="E9" s="20">
        <v>4668.2</v>
      </c>
      <c r="F9" s="20">
        <v>4789.2</v>
      </c>
      <c r="G9" s="20">
        <v>4987.3</v>
      </c>
      <c r="H9" s="20">
        <v>5123</v>
      </c>
      <c r="I9" s="20">
        <f t="shared" si="0"/>
        <v>25883.599999999999</v>
      </c>
      <c r="J9" s="20">
        <f t="shared" si="1"/>
        <v>4313.9333333333334</v>
      </c>
      <c r="K9" s="20">
        <f t="shared" si="2"/>
        <v>5123</v>
      </c>
      <c r="L9" s="47">
        <f t="shared" si="3"/>
        <v>2664.6</v>
      </c>
      <c r="M9" s="47"/>
      <c r="N9" s="48"/>
    </row>
    <row r="10" spans="1:14" ht="16.5" thickBot="1" x14ac:dyDescent="0.3">
      <c r="A10" s="8"/>
      <c r="B10" s="22" t="s">
        <v>37</v>
      </c>
      <c r="C10" s="23">
        <f>SUM(C3:C9)</f>
        <v>13350.6</v>
      </c>
      <c r="D10" s="23">
        <f t="shared" ref="D10:I10" si="4">SUM(D3:D9)</f>
        <v>13910.399999999998</v>
      </c>
      <c r="E10" s="23">
        <f>SUM(E3:E9)</f>
        <v>15642.5</v>
      </c>
      <c r="F10" s="23">
        <f t="shared" si="4"/>
        <v>16202.099999999999</v>
      </c>
      <c r="G10" s="23">
        <f t="shared" si="4"/>
        <v>16214.300000000003</v>
      </c>
      <c r="H10" s="23">
        <f t="shared" si="4"/>
        <v>16326</v>
      </c>
      <c r="I10" s="23">
        <f t="shared" si="4"/>
        <v>91645.9</v>
      </c>
      <c r="J10" s="23">
        <f>SUM(J3:J9)</f>
        <v>15274.316666666666</v>
      </c>
      <c r="K10" s="23">
        <f>SUM(K3:K9)</f>
        <v>19409.400000000001</v>
      </c>
      <c r="L10" s="49">
        <f>SUM(L3:N9)</f>
        <v>10621.199999999999</v>
      </c>
      <c r="M10" s="49"/>
      <c r="N10" s="50"/>
    </row>
    <row r="11" spans="1:14" ht="16.5" thickTop="1" x14ac:dyDescent="0.25"/>
  </sheetData>
  <mergeCells count="15">
    <mergeCell ref="L1:N2"/>
    <mergeCell ref="L9:N9"/>
    <mergeCell ref="L10:N10"/>
    <mergeCell ref="A1:A2"/>
    <mergeCell ref="B1:B2"/>
    <mergeCell ref="I1:I2"/>
    <mergeCell ref="J1:J2"/>
    <mergeCell ref="K1:K2"/>
    <mergeCell ref="C1:H1"/>
    <mergeCell ref="L3:N3"/>
    <mergeCell ref="L4:N4"/>
    <mergeCell ref="L5:N5"/>
    <mergeCell ref="L6:N6"/>
    <mergeCell ref="L7:N7"/>
    <mergeCell ref="L8:N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190B-AAD6-480A-9454-32414E152907}">
  <dimension ref="A1:I10"/>
  <sheetViews>
    <sheetView tabSelected="1" workbookViewId="0">
      <selection activeCell="Q7" sqref="Q7"/>
    </sheetView>
  </sheetViews>
  <sheetFormatPr defaultRowHeight="15.75" x14ac:dyDescent="0.25"/>
  <cols>
    <col min="8" max="8" width="19.375" customWidth="1"/>
    <col min="9" max="9" width="24.25" customWidth="1"/>
  </cols>
  <sheetData>
    <row r="1" spans="1:9" x14ac:dyDescent="0.25">
      <c r="A1" s="56" t="s">
        <v>1</v>
      </c>
      <c r="B1" s="58" t="s">
        <v>44</v>
      </c>
      <c r="C1" s="58"/>
      <c r="D1" s="58"/>
      <c r="E1" s="58"/>
      <c r="F1" s="58"/>
      <c r="G1" s="58"/>
      <c r="H1" s="58" t="s">
        <v>8</v>
      </c>
      <c r="I1" s="59" t="s">
        <v>9</v>
      </c>
    </row>
    <row r="2" spans="1:9" ht="34.5" customHeight="1" x14ac:dyDescent="0.25">
      <c r="A2" s="57"/>
      <c r="B2" s="24">
        <v>1994</v>
      </c>
      <c r="C2" s="24">
        <v>1995</v>
      </c>
      <c r="D2" s="24">
        <v>1996</v>
      </c>
      <c r="E2" s="24">
        <v>1997</v>
      </c>
      <c r="F2" s="24">
        <v>1998</v>
      </c>
      <c r="G2" s="24">
        <v>1999</v>
      </c>
      <c r="H2" s="36"/>
      <c r="I2" s="60"/>
    </row>
    <row r="3" spans="1:9" x14ac:dyDescent="0.25">
      <c r="A3" s="26" t="s">
        <v>13</v>
      </c>
      <c r="B3" s="25">
        <f>Выручка!C3-Себестоимость!C3</f>
        <v>1100</v>
      </c>
      <c r="C3" s="25">
        <f>Выручка!D3-Себестоимость!D3</f>
        <v>1110</v>
      </c>
      <c r="D3" s="25">
        <f>Выручка!E3-Себестоимость!E3</f>
        <v>1000</v>
      </c>
      <c r="E3" s="25">
        <f>Выручка!F3-Себестоимость!F3</f>
        <v>1980</v>
      </c>
      <c r="F3" s="25">
        <f>Выручка!G3-Себестоимость!G3</f>
        <v>1420</v>
      </c>
      <c r="G3" s="25">
        <f>Выручка!H3-Себестоимость!H3</f>
        <v>1068.2000000000003</v>
      </c>
      <c r="H3" s="20">
        <f>SUM(B3:G3)</f>
        <v>7678.2000000000007</v>
      </c>
      <c r="I3" s="27">
        <v>0.19409999999999999</v>
      </c>
    </row>
    <row r="4" spans="1:9" x14ac:dyDescent="0.25">
      <c r="A4" s="26" t="s">
        <v>18</v>
      </c>
      <c r="B4" s="25">
        <f>Выручка!C4-Себестоимость!C4</f>
        <v>1996.5</v>
      </c>
      <c r="C4" s="25">
        <f>Выручка!D4-Себестоимость!D4</f>
        <v>1969.9999999999998</v>
      </c>
      <c r="D4" s="25">
        <f>Выручка!E4-Себестоимость!E4</f>
        <v>2400</v>
      </c>
      <c r="E4" s="25">
        <f>Выручка!F4-Себестоимость!F4</f>
        <v>1400</v>
      </c>
      <c r="F4" s="25">
        <f>Выручка!G4-Себестоимость!G4</f>
        <v>2100</v>
      </c>
      <c r="G4" s="25">
        <f>Выручка!H4-Себестоимость!H4</f>
        <v>1808.1999999999998</v>
      </c>
      <c r="H4" s="20">
        <f t="shared" ref="H4:H9" si="0">SUM(B4:G4)</f>
        <v>11674.7</v>
      </c>
      <c r="I4" s="27">
        <v>0.29520000000000002</v>
      </c>
    </row>
    <row r="5" spans="1:9" x14ac:dyDescent="0.25">
      <c r="A5" s="26" t="s">
        <v>23</v>
      </c>
      <c r="B5" s="25">
        <f>Выручка!C5-Себестоимость!C5</f>
        <v>220.00000000000006</v>
      </c>
      <c r="C5" s="25">
        <f>Выручка!D5-Себестоимость!D5</f>
        <v>169.00000000000006</v>
      </c>
      <c r="D5" s="25">
        <f>Выручка!E5-Себестоимость!E5</f>
        <v>26</v>
      </c>
      <c r="E5" s="25">
        <f>Выручка!F5-Себестоимость!F5</f>
        <v>193</v>
      </c>
      <c r="F5" s="25">
        <f>Выручка!G5-Себестоимость!G5</f>
        <v>198</v>
      </c>
      <c r="G5" s="25">
        <f>Выручка!H5-Себестоимость!H5</f>
        <v>232</v>
      </c>
      <c r="H5" s="20">
        <f t="shared" si="0"/>
        <v>1038</v>
      </c>
      <c r="I5" s="27">
        <v>2.6200000000000001E-2</v>
      </c>
    </row>
    <row r="6" spans="1:9" x14ac:dyDescent="0.25">
      <c r="A6" s="26" t="s">
        <v>25</v>
      </c>
      <c r="B6" s="25">
        <f>Выручка!C6-Себестоимость!C6</f>
        <v>96</v>
      </c>
      <c r="C6" s="25">
        <f>Выручка!D6-Себестоимость!D6</f>
        <v>112</v>
      </c>
      <c r="D6" s="25">
        <f>Выручка!E6-Себестоимость!E6</f>
        <v>227</v>
      </c>
      <c r="E6" s="25">
        <f>Выручка!F6-Себестоимость!F6</f>
        <v>100</v>
      </c>
      <c r="F6" s="25">
        <f>Выручка!G6-Себестоимость!G6</f>
        <v>108</v>
      </c>
      <c r="G6" s="25">
        <f>Выручка!H6-Себестоимость!H6</f>
        <v>140</v>
      </c>
      <c r="H6" s="20">
        <f t="shared" si="0"/>
        <v>783</v>
      </c>
      <c r="I6" s="27">
        <v>1.9800000000000002E-2</v>
      </c>
    </row>
    <row r="7" spans="1:9" x14ac:dyDescent="0.25">
      <c r="A7" s="26" t="s">
        <v>28</v>
      </c>
      <c r="B7" s="25">
        <f>Выручка!C7-Себестоимость!C7</f>
        <v>1000</v>
      </c>
      <c r="C7" s="25">
        <f>Выручка!D7-Себестоимость!D7</f>
        <v>963</v>
      </c>
      <c r="D7" s="25">
        <f>Выручка!E7-Себестоимость!E7</f>
        <v>1333</v>
      </c>
      <c r="E7" s="25">
        <f>Выручка!F7-Себестоимость!F7</f>
        <v>1564</v>
      </c>
      <c r="F7" s="25">
        <f>Выручка!G7-Себестоимость!G7</f>
        <v>1773.8999999999996</v>
      </c>
      <c r="G7" s="25">
        <f>Выручка!H7-Себестоимость!H7</f>
        <v>2068.9</v>
      </c>
      <c r="H7" s="20">
        <f t="shared" si="0"/>
        <v>8702.7999999999993</v>
      </c>
      <c r="I7" s="27">
        <v>0.22</v>
      </c>
    </row>
    <row r="8" spans="1:9" x14ac:dyDescent="0.25">
      <c r="A8" s="26" t="s">
        <v>33</v>
      </c>
      <c r="B8" s="25">
        <f>Выручка!C8-Себестоимость!C8</f>
        <v>110</v>
      </c>
      <c r="C8" s="25">
        <f>Выручка!D8-Себестоимость!D8</f>
        <v>100</v>
      </c>
      <c r="D8" s="25">
        <f>Выручка!E8-Себестоимость!E8</f>
        <v>190</v>
      </c>
      <c r="E8" s="25">
        <f>Выручка!F8-Себестоимость!F8</f>
        <v>129</v>
      </c>
      <c r="F8" s="25">
        <f>Выручка!G8-Себестоимость!G8</f>
        <v>141.10000000000002</v>
      </c>
      <c r="G8" s="25">
        <f>Выручка!H8-Себестоимость!H8</f>
        <v>-163.39999999999998</v>
      </c>
      <c r="H8" s="20">
        <f t="shared" si="0"/>
        <v>506.70000000000005</v>
      </c>
      <c r="I8" s="27">
        <v>1.2800000000000001E-2</v>
      </c>
    </row>
    <row r="9" spans="1:9" x14ac:dyDescent="0.25">
      <c r="A9" s="26" t="s">
        <v>35</v>
      </c>
      <c r="B9" s="25">
        <f>Выручка!C9-Себестоимость!C9</f>
        <v>1336</v>
      </c>
      <c r="C9" s="25">
        <f>Выручка!D9-Себестоимость!D9</f>
        <v>911</v>
      </c>
      <c r="D9" s="25">
        <f>Выручка!E9-Себестоимость!E9</f>
        <v>1030</v>
      </c>
      <c r="E9" s="25">
        <f>Выручка!F9-Себестоимость!F9</f>
        <v>1760</v>
      </c>
      <c r="F9" s="25">
        <f>Выручка!G9-Себестоимость!G9</f>
        <v>2000.1999999999998</v>
      </c>
      <c r="G9" s="25">
        <f>Выручка!H9-Себестоимость!H9</f>
        <v>2133.1999999999998</v>
      </c>
      <c r="H9" s="20">
        <f t="shared" si="0"/>
        <v>9170.4</v>
      </c>
      <c r="I9" s="27">
        <v>0.23180000000000001</v>
      </c>
    </row>
    <row r="10" spans="1:9" ht="16.5" thickBot="1" x14ac:dyDescent="0.3">
      <c r="A10" s="28" t="s">
        <v>37</v>
      </c>
      <c r="B10" s="29">
        <f>SUM(B3:B9)</f>
        <v>5858.5</v>
      </c>
      <c r="C10" s="29">
        <f t="shared" ref="C10:G10" si="1">SUM(C3:C9)</f>
        <v>5335</v>
      </c>
      <c r="D10" s="29">
        <f t="shared" si="1"/>
        <v>6206</v>
      </c>
      <c r="E10" s="29">
        <f t="shared" si="1"/>
        <v>7126</v>
      </c>
      <c r="F10" s="29">
        <f t="shared" si="1"/>
        <v>7741.2</v>
      </c>
      <c r="G10" s="29">
        <f t="shared" si="1"/>
        <v>7287.1</v>
      </c>
      <c r="H10" s="30">
        <v>39553.800000000003</v>
      </c>
      <c r="I10" s="31">
        <v>1</v>
      </c>
    </row>
  </sheetData>
  <mergeCells count="4">
    <mergeCell ref="A1:A2"/>
    <mergeCell ref="B1:G1"/>
    <mergeCell ref="H1:H2"/>
    <mergeCell ref="I1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Выручка</vt:lpstr>
      <vt:lpstr>График</vt:lpstr>
      <vt:lpstr>Себестоимость</vt:lpstr>
      <vt:lpstr>Прибыль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 Карапетьян</dc:creator>
  <cp:lastModifiedBy>Ян Карапетьян</cp:lastModifiedBy>
  <dcterms:created xsi:type="dcterms:W3CDTF">2026-03-26T17:34:02Z</dcterms:created>
  <dcterms:modified xsi:type="dcterms:W3CDTF">2026-03-26T17:53:42Z</dcterms:modified>
</cp:coreProperties>
</file>