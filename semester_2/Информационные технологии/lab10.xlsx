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fromsouls\Desktop\"/>
    </mc:Choice>
  </mc:AlternateContent>
  <xr:revisionPtr revIDLastSave="0" documentId="8_{47E09532-0A46-4A71-9A80-C1AA036D58EF}" xr6:coauthVersionLast="47" xr6:coauthVersionMax="47" xr10:uidLastSave="{00000000-0000-0000-0000-000000000000}"/>
  <bookViews>
    <workbookView xWindow="-120" yWindow="-120" windowWidth="29040" windowHeight="15840" xr2:uid="{8A3D8095-5D43-4FCD-820B-D93E7331B3A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B15" i="1" s="1"/>
  <c r="I5" i="1"/>
  <c r="H5" i="1" s="1"/>
  <c r="F6" i="1"/>
  <c r="I6" i="1"/>
  <c r="H6" i="1" s="1"/>
  <c r="F7" i="1"/>
  <c r="I7" i="1"/>
  <c r="H7" i="1" s="1"/>
  <c r="F8" i="1"/>
  <c r="I8" i="1"/>
  <c r="H8" i="1" s="1"/>
  <c r="F9" i="1"/>
  <c r="I9" i="1"/>
  <c r="H9" i="1" s="1"/>
  <c r="F10" i="1"/>
  <c r="I10" i="1"/>
  <c r="H10" i="1" s="1"/>
  <c r="F11" i="1"/>
  <c r="I11" i="1"/>
  <c r="H11" i="1" s="1"/>
  <c r="F12" i="1"/>
  <c r="H12" i="1"/>
  <c r="I12" i="1"/>
  <c r="F13" i="1"/>
  <c r="I13" i="1"/>
  <c r="H13" i="1" s="1"/>
  <c r="B14" i="1"/>
  <c r="C14" i="1"/>
  <c r="D14" i="1"/>
  <c r="E14" i="1"/>
  <c r="G14" i="1"/>
  <c r="I14" i="1"/>
  <c r="B16" i="1"/>
  <c r="H14" i="1" l="1"/>
  <c r="F14" i="1"/>
</calcChain>
</file>

<file path=xl/sharedStrings.xml><?xml version="1.0" encoding="utf-8"?>
<sst xmlns="http://schemas.openxmlformats.org/spreadsheetml/2006/main" count="33" uniqueCount="27">
  <si>
    <t>Минимальная зарплата:</t>
  </si>
  <si>
    <t>СТИПЕНДИЯ</t>
  </si>
  <si>
    <t>Студент</t>
  </si>
  <si>
    <t>Экзамены</t>
  </si>
  <si>
    <t>Зачет</t>
  </si>
  <si>
    <t>Средн. балл</t>
  </si>
  <si>
    <t>Число детей</t>
  </si>
  <si>
    <t>Стипендия</t>
  </si>
  <si>
    <t>Сессия продлена</t>
  </si>
  <si>
    <t>Этика</t>
  </si>
  <si>
    <t>Физика</t>
  </si>
  <si>
    <t>Химия</t>
  </si>
  <si>
    <t>Логика</t>
  </si>
  <si>
    <t>Петров</t>
  </si>
  <si>
    <t>з</t>
  </si>
  <si>
    <t>Гречкин</t>
  </si>
  <si>
    <t>н</t>
  </si>
  <si>
    <t>Иванов</t>
  </si>
  <si>
    <t>Добрынов</t>
  </si>
  <si>
    <t>Пустов</t>
  </si>
  <si>
    <t>Сидоров</t>
  </si>
  <si>
    <t>Греков</t>
  </si>
  <si>
    <t>Борисов</t>
  </si>
  <si>
    <t>Широков</t>
  </si>
  <si>
    <t>Всего</t>
  </si>
  <si>
    <t>Отличники</t>
  </si>
  <si>
    <t>Без троек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</si>
</sst>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9.8914260717410329E-2"/>
          <c:y val="0.13653944298629339"/>
          <c:w val="0.86497462817147852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Лист1!$H$5:$H$13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10500</c:v>
                </c:pt>
                <c:pt idx="3">
                  <c:v>3000</c:v>
                </c:pt>
                <c:pt idx="4">
                  <c:v>9000</c:v>
                </c:pt>
                <c:pt idx="5">
                  <c:v>0</c:v>
                </c:pt>
                <c:pt idx="6">
                  <c:v>0</c:v>
                </c:pt>
                <c:pt idx="7">
                  <c:v>6000</c:v>
                </c:pt>
                <c:pt idx="8">
                  <c:v>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19-4918-A834-CAD9E6F24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0297695"/>
        <c:axId val="2030295295"/>
      </c:barChart>
      <c:catAx>
        <c:axId val="203029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0295295"/>
        <c:crosses val="autoZero"/>
        <c:auto val="1"/>
        <c:lblAlgn val="ctr"/>
        <c:lblOffset val="100"/>
        <c:noMultiLvlLbl val="0"/>
      </c:catAx>
      <c:valAx>
        <c:axId val="203029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0297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257175</xdr:colOff>
      <xdr:row>1</xdr:row>
      <xdr:rowOff>100012</xdr:rowOff>
    </xdr:from>
    <xdr:to>
      <xdr:col>16</xdr:col>
      <xdr:colOff>561975</xdr:colOff>
      <xdr:row>15</xdr:row>
      <xdr:rowOff>176212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2C082AE-B9C7-98A4-FBE3-9DE67E9EB5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CA9A1-C135-4DA9-AFF3-FEE8E47116AF}">
  <dimension ref="A1:I16"/>
  <sheetViews>
    <sheetView tabSelected="1" workbookViewId="0">
      <selection activeCell="O25" sqref="O25"/>
    </sheetView>
  </sheetViews>
  <sheetFormatPr defaultRowHeight="15" x14ac:dyDescent="0.25"/>
  <cols>
    <col min="2" max="2" width="15.140625" customWidth="1"/>
    <col min="8" max="8" width="10.140625" bestFit="1" customWidth="1"/>
    <col min="9" max="9" width="19.42578125" customWidth="1"/>
  </cols>
  <sheetData>
    <row r="1" spans="1:9" x14ac:dyDescent="0.25">
      <c r="A1" s="1" t="s">
        <v>0</v>
      </c>
      <c r="B1" s="1"/>
      <c r="C1" s="1"/>
      <c r="D1" s="1"/>
      <c r="E1" s="1"/>
      <c r="F1" s="2">
        <v>3000</v>
      </c>
      <c r="G1" s="2"/>
      <c r="H1" s="2"/>
      <c r="I1" s="2"/>
    </row>
    <row r="2" spans="1:9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9" x14ac:dyDescent="0.25">
      <c r="A3" s="2" t="s">
        <v>2</v>
      </c>
      <c r="B3" s="1" t="s">
        <v>3</v>
      </c>
      <c r="C3" s="1"/>
      <c r="D3" s="1"/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x14ac:dyDescent="0.25">
      <c r="A4" s="2"/>
      <c r="B4" s="2" t="s">
        <v>9</v>
      </c>
      <c r="C4" s="2" t="s">
        <v>10</v>
      </c>
      <c r="D4" s="2" t="s">
        <v>11</v>
      </c>
      <c r="E4" s="2" t="s">
        <v>12</v>
      </c>
      <c r="F4" s="2"/>
      <c r="G4" s="2"/>
      <c r="H4" s="2"/>
      <c r="I4" s="2"/>
    </row>
    <row r="5" spans="1:9" x14ac:dyDescent="0.25">
      <c r="A5" s="2" t="s">
        <v>13</v>
      </c>
      <c r="B5" s="2"/>
      <c r="C5" s="2">
        <v>3</v>
      </c>
      <c r="D5" s="2">
        <v>4</v>
      </c>
      <c r="E5" s="2" t="s">
        <v>14</v>
      </c>
      <c r="F5" s="2">
        <f>IF(AND(E5="з",NOT(ISBLANK(B5)),NOT(ISBLANK(C5)),NOT(ISBLANK(D5))),AVERAGE(B5:D5),0)</f>
        <v>0</v>
      </c>
      <c r="G5" s="2"/>
      <c r="H5" s="2">
        <f>IF(I5="-",$F$1,0)+IF(F5&gt;=4,$F$1/2,0)+IF(F5=5,$F$1/2,0)+G5*$F$1</f>
        <v>0</v>
      </c>
      <c r="I5" s="2" t="str">
        <f>IF(OR(E5="н",ISBLANK(E5),ISBLANK(D5),ISBLANK(C5),ISBLANK(B5)),"+","-")</f>
        <v>+</v>
      </c>
    </row>
    <row r="6" spans="1:9" x14ac:dyDescent="0.25">
      <c r="A6" s="2" t="s">
        <v>15</v>
      </c>
      <c r="B6" s="2">
        <v>4</v>
      </c>
      <c r="C6" s="2">
        <v>4</v>
      </c>
      <c r="D6" s="2">
        <v>5</v>
      </c>
      <c r="E6" s="2" t="s">
        <v>16</v>
      </c>
      <c r="F6" s="2">
        <f>IF(AND(E6="з",NOT(ISBLANK(B6)),NOT(ISBLANK(C6)),NOT(ISBLANK(D6))),AVERAGE(B6:D6),0)</f>
        <v>0</v>
      </c>
      <c r="G6" s="2"/>
      <c r="H6" s="2">
        <f>IF(I6="-",$F$1,0)+IF(F6&gt;=4,$F$1/2,0)+IF(F6=5,$F$1/2,0)+G6*$F$1</f>
        <v>0</v>
      </c>
      <c r="I6" s="2" t="str">
        <f>IF(OR(E6="н",ISBLANK(E6),ISBLANK(D6),ISBLANK(C6),ISBLANK(B6)),"+","-")</f>
        <v>+</v>
      </c>
    </row>
    <row r="7" spans="1:9" x14ac:dyDescent="0.25">
      <c r="A7" s="2" t="s">
        <v>17</v>
      </c>
      <c r="B7" s="2">
        <v>5</v>
      </c>
      <c r="C7" s="2">
        <v>4</v>
      </c>
      <c r="D7" s="2">
        <v>5</v>
      </c>
      <c r="E7" s="2" t="s">
        <v>14</v>
      </c>
      <c r="F7" s="2">
        <f>IF(AND(E7="з",NOT(ISBLANK(B7)),NOT(ISBLANK(C7)),NOT(ISBLANK(D7))),AVERAGE(B7:D7),0)</f>
        <v>4.666666666666667</v>
      </c>
      <c r="G7" s="2">
        <v>2</v>
      </c>
      <c r="H7" s="2">
        <f>IF(I7="-",$F$1,0)+IF(F7&gt;=4,$F$1/2,0)+IF(F7=5,$F$1/2,0)+G7*$F$1</f>
        <v>10500</v>
      </c>
      <c r="I7" s="2" t="str">
        <f>IF(OR(E7="н",ISBLANK(E7),ISBLANK(D7),ISBLANK(C7),ISBLANK(B7)),"+","-")</f>
        <v>-</v>
      </c>
    </row>
    <row r="8" spans="1:9" x14ac:dyDescent="0.25">
      <c r="A8" s="2" t="s">
        <v>18</v>
      </c>
      <c r="B8" s="2">
        <v>3</v>
      </c>
      <c r="C8" s="2">
        <v>3</v>
      </c>
      <c r="D8" s="2">
        <v>4</v>
      </c>
      <c r="E8" s="2" t="s">
        <v>14</v>
      </c>
      <c r="F8" s="2">
        <f>IF(AND(E8="з",NOT(ISBLANK(B8)),NOT(ISBLANK(C8)),NOT(ISBLANK(D8))),AVERAGE(B8:D8),0)</f>
        <v>3.3333333333333335</v>
      </c>
      <c r="G8" s="2"/>
      <c r="H8" s="2">
        <f>IF(I8="-",$F$1,0)+IF(F8&gt;=4,$F$1/2,0)+IF(F8=5,$F$1/2,0)+G8*$F$1</f>
        <v>3000</v>
      </c>
      <c r="I8" s="2" t="str">
        <f>IF(OR(E8="н",ISBLANK(E8),ISBLANK(D8),ISBLANK(C8),ISBLANK(B8)),"+","-")</f>
        <v>-</v>
      </c>
    </row>
    <row r="9" spans="1:9" x14ac:dyDescent="0.25">
      <c r="A9" s="2" t="s">
        <v>19</v>
      </c>
      <c r="B9" s="2">
        <v>5</v>
      </c>
      <c r="C9" s="2">
        <v>5</v>
      </c>
      <c r="D9" s="2">
        <v>5</v>
      </c>
      <c r="E9" s="2" t="s">
        <v>14</v>
      </c>
      <c r="F9" s="2">
        <f>IF(AND(E9="з",NOT(ISBLANK(B9)),NOT(ISBLANK(C9)),NOT(ISBLANK(D9))),AVERAGE(B9:D9),0)</f>
        <v>5</v>
      </c>
      <c r="G9" s="2">
        <v>1</v>
      </c>
      <c r="H9" s="2">
        <f>IF(I9="-",$F$1,0)+IF(F9&gt;=4,$F$1/2,0)+IF(F9=5,$F$1/2,0)+G9*$F$1</f>
        <v>9000</v>
      </c>
      <c r="I9" s="2" t="str">
        <f>IF(OR(E9="н",ISBLANK(E9),ISBLANK(D9),ISBLANK(C9),ISBLANK(B9)),"+","-")</f>
        <v>-</v>
      </c>
    </row>
    <row r="10" spans="1:9" x14ac:dyDescent="0.25">
      <c r="A10" s="2" t="s">
        <v>20</v>
      </c>
      <c r="B10" s="2">
        <v>5</v>
      </c>
      <c r="C10" s="2"/>
      <c r="D10" s="2">
        <v>4</v>
      </c>
      <c r="E10" s="2" t="s">
        <v>16</v>
      </c>
      <c r="F10" s="2">
        <f>IF(AND(E10="з",NOT(ISBLANK(B10)),NOT(ISBLANK(C10)),NOT(ISBLANK(D10))),AVERAGE(B10:D10),0)</f>
        <v>0</v>
      </c>
      <c r="G10" s="2"/>
      <c r="H10" s="2">
        <f>IF(I10="-",$F$1,0)+IF(F10&gt;=4,$F$1/2,0)+IF(F10=5,$F$1/2,0)+G10*$F$1</f>
        <v>0</v>
      </c>
      <c r="I10" s="2" t="str">
        <f>IF(OR(E10="н",ISBLANK(E10),ISBLANK(D10),ISBLANK(C10),ISBLANK(B10)),"+","-")</f>
        <v>+</v>
      </c>
    </row>
    <row r="11" spans="1:9" x14ac:dyDescent="0.25">
      <c r="A11" s="2" t="s">
        <v>21</v>
      </c>
      <c r="B11" s="2">
        <v>3</v>
      </c>
      <c r="C11" s="2">
        <v>3</v>
      </c>
      <c r="D11" s="2"/>
      <c r="E11" s="2"/>
      <c r="F11" s="2">
        <f>IF(AND(E11="з",NOT(ISBLANK(B11)),NOT(ISBLANK(C11)),NOT(ISBLANK(D11))),AVERAGE(B11:D11),0)</f>
        <v>0</v>
      </c>
      <c r="G11" s="2"/>
      <c r="H11" s="2">
        <f>IF(I11="-",$F$1,0)+IF(F11&gt;=4,$F$1/2,0)+IF(F11=5,$F$1/2,0)+G11*$F$1</f>
        <v>0</v>
      </c>
      <c r="I11" s="2" t="str">
        <f>IF(OR(E11="н",ISBLANK(E11),ISBLANK(D11),ISBLANK(C11),ISBLANK(B11)),"+","-")</f>
        <v>+</v>
      </c>
    </row>
    <row r="12" spans="1:9" x14ac:dyDescent="0.25">
      <c r="A12" s="2" t="s">
        <v>22</v>
      </c>
      <c r="B12" s="2">
        <v>4</v>
      </c>
      <c r="C12" s="2">
        <v>4</v>
      </c>
      <c r="D12" s="2">
        <v>3</v>
      </c>
      <c r="E12" s="2" t="s">
        <v>14</v>
      </c>
      <c r="F12" s="2">
        <f>IF(AND(E12="з",NOT(ISBLANK(B12)),NOT(ISBLANK(C12)),NOT(ISBLANK(D12))),AVERAGE(B12:D12),0)</f>
        <v>3.6666666666666665</v>
      </c>
      <c r="G12" s="2">
        <v>1</v>
      </c>
      <c r="H12" s="2">
        <f>IF(I12="-",$F$1,0)+IF(F12&gt;=4,$F$1/2,0)+IF(F12=5,$F$1/2,0)+G12*$F$1</f>
        <v>6000</v>
      </c>
      <c r="I12" s="2" t="str">
        <f>IF(OR(E12="н",ISBLANK(E12),ISBLANK(D12),ISBLANK(C12),ISBLANK(B12)),"+","-")</f>
        <v>-</v>
      </c>
    </row>
    <row r="13" spans="1:9" x14ac:dyDescent="0.25">
      <c r="A13" s="2" t="s">
        <v>23</v>
      </c>
      <c r="B13" s="2">
        <v>4</v>
      </c>
      <c r="C13" s="2">
        <v>4</v>
      </c>
      <c r="D13" s="2">
        <v>4</v>
      </c>
      <c r="E13" s="2" t="s">
        <v>14</v>
      </c>
      <c r="F13" s="2">
        <f>IF(AND(E13="з",NOT(ISBLANK(B13)),NOT(ISBLANK(C13)),NOT(ISBLANK(D13))),AVERAGE(B13:D13),0)</f>
        <v>4</v>
      </c>
      <c r="G13" s="2"/>
      <c r="H13" s="2">
        <f>IF(I13="-",$F$1,0)+IF(F13&gt;=4,$F$1/2,0)+IF(F13=5,$F$1/2,0)+G13*$F$1</f>
        <v>4500</v>
      </c>
      <c r="I13" s="2" t="str">
        <f>IF(OR(E13="н",ISBLANK(E13),ISBLANK(D13),ISBLANK(C13),ISBLANK(B13)),"+","-")</f>
        <v>-</v>
      </c>
    </row>
    <row r="14" spans="1:9" x14ac:dyDescent="0.25">
      <c r="A14" s="2" t="s">
        <v>24</v>
      </c>
      <c r="B14" s="2">
        <f>COUNT(B5:B13)</f>
        <v>8</v>
      </c>
      <c r="C14" s="2">
        <f>COUNT(C5:C13)</f>
        <v>8</v>
      </c>
      <c r="D14" s="2">
        <f>COUNT(D5:D13)</f>
        <v>8</v>
      </c>
      <c r="E14" s="2">
        <f>COUNTIF(E5:E13,"з")</f>
        <v>6</v>
      </c>
      <c r="F14" s="2">
        <f>AVERAGE(F5:F13)</f>
        <v>2.2962962962962963</v>
      </c>
      <c r="G14" s="2">
        <f>SUM(G5:G13)</f>
        <v>4</v>
      </c>
      <c r="H14" s="2">
        <f>SUM(H5:H13)</f>
        <v>33000</v>
      </c>
      <c r="I14" s="2">
        <f>COUNTIF(I5:I13,"+")</f>
        <v>4</v>
      </c>
    </row>
    <row r="15" spans="1:9" x14ac:dyDescent="0.25">
      <c r="A15" s="2" t="s">
        <v>25</v>
      </c>
      <c r="B15" s="2">
        <f>COUNTIF(F5:F13,5)</f>
        <v>1</v>
      </c>
      <c r="C15" s="3"/>
      <c r="D15" s="3"/>
      <c r="E15" s="3"/>
      <c r="F15" s="3"/>
      <c r="G15" s="3"/>
      <c r="H15" s="3"/>
      <c r="I15" s="3"/>
    </row>
    <row r="16" spans="1:9" x14ac:dyDescent="0.25">
      <c r="A16" s="2" t="s">
        <v>26</v>
      </c>
      <c r="B16" s="2">
        <f>COUNTIFS(B5:B13,"&gt;=4",C5:C13,"&gt;=4",D5:D13,"&gt;=4",E5:E13,"з")</f>
        <v>3</v>
      </c>
      <c r="C16" s="3"/>
      <c r="D16" s="3"/>
      <c r="E16" s="3"/>
      <c r="F16" s="3"/>
      <c r="G16" s="3"/>
      <c r="H16" s="3"/>
      <c r="I16" s="3"/>
    </row>
  </sheetData>
  <mergeCells count="3">
    <mergeCell ref="A2:I2"/>
    <mergeCell ref="B3:D3"/>
    <mergeCell ref="A1:E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Ян Карапетьян</dc:creator>
  <cp:lastModifiedBy>Ян Карапетьян</cp:lastModifiedBy>
  <dcterms:created xsi:type="dcterms:W3CDTF">2026-03-26T18:42:25Z</dcterms:created>
  <dcterms:modified xsi:type="dcterms:W3CDTF">2026-03-26T18:51:55Z</dcterms:modified>
</cp:coreProperties>
</file>